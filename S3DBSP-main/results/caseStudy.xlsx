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wa832\Documents\01_GitRepos\myRepo\publications\2022\S3DBSP\results\"/>
    </mc:Choice>
  </mc:AlternateContent>
  <xr:revisionPtr revIDLastSave="0" documentId="13_ncr:1_{4AA39EFE-B8B1-4BD1-A5B2-ADD3BF9D0519}" xr6:coauthVersionLast="47" xr6:coauthVersionMax="47" xr10:uidLastSave="{00000000-0000-0000-0000-000000000000}"/>
  <bookViews>
    <workbookView xWindow="28680" yWindow="-120" windowWidth="29040" windowHeight="15720" xr2:uid="{615A926B-78CA-43CE-B63A-67C6DB27EEFD}"/>
  </bookViews>
  <sheets>
    <sheet name="Overview" sheetId="19" r:id="rId1"/>
    <sheet name="40" sheetId="10" r:id="rId2"/>
    <sheet name="23" sheetId="3" r:id="rId3"/>
    <sheet name="34" sheetId="7" r:id="rId4"/>
    <sheet name="61" sheetId="4" r:id="rId5"/>
    <sheet name="28" sheetId="6" r:id="rId6"/>
    <sheet name="33" sheetId="12" r:id="rId7"/>
    <sheet name="02" sheetId="14" r:id="rId8"/>
    <sheet name="04" sheetId="13" r:id="rId9"/>
    <sheet name="60" sheetId="17" r:id="rId10"/>
    <sheet name="45" sheetId="15" r:id="rId11"/>
    <sheet name="RunsForUnusedSpaceFigure1" sheetId="21" r:id="rId12"/>
  </sheets>
  <definedNames>
    <definedName name="_xlnm._FilterDatabase" localSheetId="11" hidden="1">RunsForUnusedSpaceFigure1!$A$1:$G$511</definedName>
  </definedNames>
  <calcPr calcId="191029"/>
  <pivotCaches>
    <pivotCache cacheId="19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9" l="1"/>
  <c r="O31" i="19"/>
  <c r="M33" i="19"/>
  <c r="K35" i="19"/>
  <c r="I37" i="19"/>
  <c r="P38" i="19"/>
  <c r="N40" i="19"/>
  <c r="L42" i="19"/>
  <c r="J44" i="19"/>
  <c r="H46" i="19"/>
  <c r="O47" i="19"/>
  <c r="O33" i="19"/>
  <c r="K37" i="19"/>
  <c r="P40" i="19"/>
  <c r="L44" i="19"/>
  <c r="H48" i="19"/>
  <c r="I32" i="19"/>
  <c r="L37" i="19"/>
  <c r="O42" i="19"/>
  <c r="K46" i="19"/>
  <c r="J32" i="19"/>
  <c r="K39" i="19"/>
  <c r="N44" i="19"/>
  <c r="P35" i="19"/>
  <c r="O44" i="19"/>
  <c r="I30" i="19"/>
  <c r="P31" i="19"/>
  <c r="N33" i="19"/>
  <c r="L35" i="19"/>
  <c r="J37" i="19"/>
  <c r="H39" i="19"/>
  <c r="O40" i="19"/>
  <c r="M42" i="19"/>
  <c r="K44" i="19"/>
  <c r="I46" i="19"/>
  <c r="P47" i="19"/>
  <c r="H32" i="19"/>
  <c r="M35" i="19"/>
  <c r="I39" i="19"/>
  <c r="N42" i="19"/>
  <c r="J46" i="19"/>
  <c r="P33" i="19"/>
  <c r="N35" i="19"/>
  <c r="J39" i="19"/>
  <c r="M44" i="19"/>
  <c r="I48" i="19"/>
  <c r="O35" i="19"/>
  <c r="I41" i="19"/>
  <c r="L46" i="19"/>
  <c r="N37" i="19"/>
  <c r="K48" i="19"/>
  <c r="J30" i="19"/>
  <c r="H41" i="19"/>
  <c r="H34" i="19"/>
  <c r="P42" i="19"/>
  <c r="J48" i="19"/>
  <c r="J41" i="19"/>
  <c r="M46" i="19"/>
  <c r="K30" i="19"/>
  <c r="I34" i="19"/>
  <c r="L30" i="19"/>
  <c r="M37" i="19"/>
  <c r="L39" i="19"/>
  <c r="M30" i="19"/>
  <c r="K32" i="19"/>
  <c r="H43" i="19"/>
  <c r="N30" i="19"/>
  <c r="L32" i="19"/>
  <c r="J34" i="19"/>
  <c r="H36" i="19"/>
  <c r="O37" i="19"/>
  <c r="M39" i="19"/>
  <c r="K41" i="19"/>
  <c r="I43" i="19"/>
  <c r="P44" i="19"/>
  <c r="N46" i="19"/>
  <c r="L48" i="19"/>
  <c r="L34" i="19"/>
  <c r="M41" i="19"/>
  <c r="P46" i="19"/>
  <c r="N41" i="19"/>
  <c r="H47" i="19"/>
  <c r="P32" i="19"/>
  <c r="H40" i="19"/>
  <c r="K45" i="19"/>
  <c r="O34" i="19"/>
  <c r="I40" i="19"/>
  <c r="N43" i="19"/>
  <c r="J47" i="19"/>
  <c r="I33" i="19"/>
  <c r="H42" i="19"/>
  <c r="M45" i="19"/>
  <c r="L31" i="19"/>
  <c r="K40" i="19"/>
  <c r="P43" i="19"/>
  <c r="K33" i="19"/>
  <c r="J42" i="19"/>
  <c r="M47" i="19"/>
  <c r="L33" i="19"/>
  <c r="K42" i="19"/>
  <c r="P45" i="19"/>
  <c r="O30" i="19"/>
  <c r="M32" i="19"/>
  <c r="K34" i="19"/>
  <c r="I36" i="19"/>
  <c r="P37" i="19"/>
  <c r="N39" i="19"/>
  <c r="L41" i="19"/>
  <c r="J43" i="19"/>
  <c r="H45" i="19"/>
  <c r="O46" i="19"/>
  <c r="M48" i="19"/>
  <c r="J36" i="19"/>
  <c r="O39" i="19"/>
  <c r="K43" i="19"/>
  <c r="N48" i="19"/>
  <c r="L43" i="19"/>
  <c r="O48" i="19"/>
  <c r="L36" i="19"/>
  <c r="O41" i="19"/>
  <c r="M43" i="19"/>
  <c r="H33" i="19"/>
  <c r="K38" i="19"/>
  <c r="L45" i="19"/>
  <c r="P34" i="19"/>
  <c r="O43" i="19"/>
  <c r="K47" i="19"/>
  <c r="J33" i="19"/>
  <c r="I42" i="19"/>
  <c r="I35" i="19"/>
  <c r="L40" i="19"/>
  <c r="O45" i="19"/>
  <c r="N31" i="19"/>
  <c r="I44" i="19"/>
  <c r="P30" i="19"/>
  <c r="N32" i="19"/>
  <c r="H38" i="19"/>
  <c r="I45" i="19"/>
  <c r="N34" i="19"/>
  <c r="I47" i="19"/>
  <c r="P41" i="19"/>
  <c r="J40" i="19"/>
  <c r="O36" i="19"/>
  <c r="N38" i="19"/>
  <c r="H37" i="19"/>
  <c r="H31" i="19"/>
  <c r="O32" i="19"/>
  <c r="M34" i="19"/>
  <c r="K36" i="19"/>
  <c r="I38" i="19"/>
  <c r="P39" i="19"/>
  <c r="J45" i="19"/>
  <c r="J38" i="19"/>
  <c r="M36" i="19"/>
  <c r="L38" i="19"/>
  <c r="H35" i="19"/>
  <c r="L47" i="19"/>
  <c r="H44" i="19"/>
  <c r="O38" i="19"/>
  <c r="I31" i="19"/>
  <c r="P48" i="19"/>
  <c r="N36" i="19"/>
  <c r="M38" i="19"/>
  <c r="P36" i="19"/>
  <c r="J35" i="19"/>
  <c r="N47" i="19"/>
  <c r="J31" i="19"/>
  <c r="K31" i="19"/>
  <c r="M40" i="19"/>
  <c r="N45" i="19"/>
  <c r="M31" i="19"/>
  <c r="G31" i="19"/>
  <c r="G47" i="19"/>
  <c r="G34" i="19"/>
  <c r="G41" i="19"/>
  <c r="G32" i="19"/>
  <c r="G48" i="19"/>
  <c r="G35" i="19"/>
  <c r="G42" i="19"/>
  <c r="G45" i="19"/>
  <c r="G33" i="19"/>
  <c r="G36" i="19"/>
  <c r="G37" i="19"/>
  <c r="G40" i="19"/>
  <c r="G43" i="19"/>
  <c r="G44" i="19"/>
  <c r="G38" i="19"/>
  <c r="G46" i="19"/>
  <c r="G39" i="19"/>
  <c r="G30" i="19"/>
</calcChain>
</file>

<file path=xl/sharedStrings.xml><?xml version="1.0" encoding="utf-8"?>
<sst xmlns="http://schemas.openxmlformats.org/spreadsheetml/2006/main" count="1094" uniqueCount="73">
  <si>
    <t>stages</t>
  </si>
  <si>
    <t>Box 80 use:</t>
  </si>
  <si>
    <t>Box 110 use:</t>
  </si>
  <si>
    <t>Box 111 use:</t>
  </si>
  <si>
    <t>Box 112 use:</t>
  </si>
  <si>
    <t>Box 128 use:</t>
  </si>
  <si>
    <t>Box 138 use:</t>
  </si>
  <si>
    <t>Ratio:</t>
  </si>
  <si>
    <t>Box</t>
  </si>
  <si>
    <t>use:</t>
  </si>
  <si>
    <t>Box 52 use:</t>
  </si>
  <si>
    <t>Distribution center</t>
  </si>
  <si>
    <t>Portfolio size</t>
  </si>
  <si>
    <t>Unused space</t>
  </si>
  <si>
    <t>4-stage</t>
  </si>
  <si>
    <t>1-stage</t>
  </si>
  <si>
    <t>Not considered: 0</t>
  </si>
  <si>
    <t>RRSZX023</t>
  </si>
  <si>
    <t>RRSZX028</t>
  </si>
  <si>
    <t>RRSZX034</t>
  </si>
  <si>
    <t>RRSZX040</t>
  </si>
  <si>
    <t>RRSZX061</t>
  </si>
  <si>
    <t>RRSZX033</t>
  </si>
  <si>
    <t>RRSZX004</t>
  </si>
  <si>
    <t>RRSZX002</t>
  </si>
  <si>
    <t>RRSZX045</t>
  </si>
  <si>
    <t>RRSZX060</t>
  </si>
  <si>
    <t>Cost diversity: 0</t>
  </si>
  <si>
    <t>Box 47 use:</t>
  </si>
  <si>
    <t>Box 103 use:</t>
  </si>
  <si>
    <t>Box 120 use:</t>
  </si>
  <si>
    <t>Considered: 1503</t>
  </si>
  <si>
    <t>Box 97 use:</t>
  </si>
  <si>
    <t>Box 137 use:</t>
  </si>
  <si>
    <t>Cost unused: 217986</t>
  </si>
  <si>
    <t>Cost inventory: 760.375</t>
  </si>
  <si>
    <t>Cost order: 2875</t>
  </si>
  <si>
    <t>Unused volume: 3.48778e+10</t>
  </si>
  <si>
    <t>Box volume: 9.01402e+10</t>
  </si>
  <si>
    <t>Ratio: 0.386928</t>
  </si>
  <si>
    <t>1-stage (avg)</t>
  </si>
  <si>
    <t>unused space</t>
  </si>
  <si>
    <t>in-sample</t>
  </si>
  <si>
    <t>out-of-sample</t>
  </si>
  <si>
    <t>dev [in %]</t>
  </si>
  <si>
    <t>avg</t>
  </si>
  <si>
    <t>Final results</t>
  </si>
  <si>
    <t>Figure 2</t>
  </si>
  <si>
    <t>Table 5</t>
  </si>
  <si>
    <t>Unused Space</t>
  </si>
  <si>
    <t>4-stages</t>
  </si>
  <si>
    <t>Figure 1</t>
  </si>
  <si>
    <t>dataset</t>
  </si>
  <si>
    <t>datasets/RRSZX045.xml</t>
  </si>
  <si>
    <t>datasets/RRSZX034.xml</t>
  </si>
  <si>
    <t>Row Labels</t>
  </si>
  <si>
    <t>Average of ratio</t>
  </si>
  <si>
    <t>Grand Total</t>
  </si>
  <si>
    <t>datasets/RRSZX040.xml</t>
  </si>
  <si>
    <t>datasets/RRSZX061.xml</t>
  </si>
  <si>
    <t>per stage</t>
  </si>
  <si>
    <t>scenarios</t>
  </si>
  <si>
    <t>ndemands</t>
  </si>
  <si>
    <t>ratio</t>
  </si>
  <si>
    <t>packSize</t>
  </si>
  <si>
    <t>datasets/RRSZX023.xml</t>
  </si>
  <si>
    <t>datasets/RRSZX028.xml</t>
  </si>
  <si>
    <t>datasets/RRSZX033.xml</t>
  </si>
  <si>
    <t>datasets/RRSZX004.xml</t>
  </si>
  <si>
    <t>datasets/RRSZX002.xml</t>
  </si>
  <si>
    <t>datasets/RRSZX060.xml</t>
  </si>
  <si>
    <t>(blank)</t>
  </si>
  <si>
    <t>data for Figure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</si>
</sst>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ntaine, Pirmin" refreshedDate="46030.625653356481" createdVersion="8" refreshedVersion="8" minRefreshableVersion="3" recordCount="193" xr:uid="{4506CD29-8655-4B5D-860A-ECBE87157E0A}">
  <cacheSource type="worksheet">
    <worksheetSource ref="A1:G1048576" sheet="RunsForUnusedSpaceFigure1"/>
  </cacheSource>
  <cacheFields count="7">
    <cacheField name="per stage" numFmtId="0">
      <sharedItems containsString="0" containsBlank="1" containsNumber="1" containsInteger="1" minValue="2" maxValue="2"/>
    </cacheField>
    <cacheField name="stages" numFmtId="0">
      <sharedItems containsString="0" containsBlank="1" containsNumber="1" containsInteger="1" minValue="4" maxValue="4"/>
    </cacheField>
    <cacheField name="scenarios" numFmtId="0">
      <sharedItems containsString="0" containsBlank="1" containsNumber="1" containsInteger="1" minValue="16" maxValue="16"/>
    </cacheField>
    <cacheField name="ndemands" numFmtId="0">
      <sharedItems containsString="0" containsBlank="1" containsNumber="1" containsInteger="1" minValue="642" maxValue="1979"/>
    </cacheField>
    <cacheField name="dataset" numFmtId="0">
      <sharedItems containsBlank="1" count="12">
        <s v="datasets/RRSZX002.xml"/>
        <s v="datasets/RRSZX004.xml"/>
        <s v="datasets/RRSZX023.xml"/>
        <s v="datasets/RRSZX028.xml"/>
        <s v="datasets/RRSZX033.xml"/>
        <s v="datasets/RRSZX034.xml"/>
        <s v="datasets/RRSZX040.xml"/>
        <m/>
        <s v="datasets/RRSZX045.xml"/>
        <s v="datasets/RRSZX060.xml"/>
        <s v="datasets/RRSZX061.xml"/>
        <s v="datasets/RRSZX056.xml" u="1"/>
      </sharedItems>
    </cacheField>
    <cacheField name="ratio" numFmtId="0">
      <sharedItems containsString="0" containsBlank="1" containsNumber="1" minValue="0.32499299999999998" maxValue="0.80766400000000005"/>
    </cacheField>
    <cacheField name="packSize" numFmtId="0">
      <sharedItems containsString="0" containsBlank="1" containsNumber="1" containsInteger="1" minValue="1" maxValue="141" count="25">
        <n v="2"/>
        <n v="3"/>
        <n v="4"/>
        <n v="5"/>
        <n v="6"/>
        <n v="7"/>
        <n v="9"/>
        <n v="10"/>
        <n v="11"/>
        <n v="13"/>
        <n v="14"/>
        <n v="15"/>
        <n v="16"/>
        <n v="18"/>
        <n v="19"/>
        <n v="20"/>
        <n v="8"/>
        <n v="12"/>
        <n v="17"/>
        <m/>
        <n v="1" u="1"/>
        <n v="140" u="1"/>
        <n v="141" u="1"/>
        <n v="21" u="1"/>
        <n v="2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2"/>
    <n v="4"/>
    <n v="16"/>
    <n v="1503"/>
    <x v="0"/>
    <n v="0.78949800000000003"/>
    <x v="0"/>
  </r>
  <r>
    <n v="2"/>
    <n v="4"/>
    <n v="16"/>
    <n v="1503"/>
    <x v="0"/>
    <n v="0.638409"/>
    <x v="1"/>
  </r>
  <r>
    <n v="2"/>
    <n v="4"/>
    <n v="16"/>
    <n v="1503"/>
    <x v="0"/>
    <n v="0.58730199999999999"/>
    <x v="2"/>
  </r>
  <r>
    <n v="2"/>
    <n v="4"/>
    <n v="16"/>
    <n v="1503"/>
    <x v="0"/>
    <n v="0.54333299999999995"/>
    <x v="3"/>
  </r>
  <r>
    <n v="2"/>
    <n v="4"/>
    <n v="16"/>
    <n v="1503"/>
    <x v="0"/>
    <n v="0.49675399999999997"/>
    <x v="4"/>
  </r>
  <r>
    <n v="2"/>
    <n v="4"/>
    <n v="16"/>
    <n v="1503"/>
    <x v="0"/>
    <n v="0.47932799999999998"/>
    <x v="5"/>
  </r>
  <r>
    <n v="2"/>
    <n v="4"/>
    <n v="16"/>
    <n v="1503"/>
    <x v="0"/>
    <n v="0.43692599999999998"/>
    <x v="6"/>
  </r>
  <r>
    <n v="2"/>
    <n v="4"/>
    <n v="16"/>
    <n v="1503"/>
    <x v="0"/>
    <n v="0.417049"/>
    <x v="7"/>
  </r>
  <r>
    <n v="2"/>
    <n v="4"/>
    <n v="16"/>
    <n v="1503"/>
    <x v="0"/>
    <n v="0.40031800000000001"/>
    <x v="8"/>
  </r>
  <r>
    <n v="2"/>
    <n v="4"/>
    <n v="16"/>
    <n v="1503"/>
    <x v="0"/>
    <n v="0.37999100000000002"/>
    <x v="9"/>
  </r>
  <r>
    <n v="2"/>
    <n v="4"/>
    <n v="16"/>
    <n v="1503"/>
    <x v="0"/>
    <n v="0.37187199999999998"/>
    <x v="10"/>
  </r>
  <r>
    <n v="2"/>
    <n v="4"/>
    <n v="16"/>
    <n v="1503"/>
    <x v="0"/>
    <n v="0.36399500000000001"/>
    <x v="11"/>
  </r>
  <r>
    <n v="2"/>
    <n v="4"/>
    <n v="16"/>
    <n v="1503"/>
    <x v="0"/>
    <n v="0.362458"/>
    <x v="12"/>
  </r>
  <r>
    <n v="2"/>
    <n v="4"/>
    <n v="16"/>
    <n v="1503"/>
    <x v="0"/>
    <n v="0.35202299999999997"/>
    <x v="13"/>
  </r>
  <r>
    <n v="2"/>
    <n v="4"/>
    <n v="16"/>
    <n v="1503"/>
    <x v="0"/>
    <n v="0.35103699999999999"/>
    <x v="14"/>
  </r>
  <r>
    <n v="2"/>
    <n v="4"/>
    <n v="16"/>
    <n v="1503"/>
    <x v="0"/>
    <n v="0.34799099999999999"/>
    <x v="15"/>
  </r>
  <r>
    <n v="2"/>
    <n v="4"/>
    <n v="16"/>
    <n v="1503"/>
    <x v="0"/>
    <n v="0.45796999999999999"/>
    <x v="16"/>
  </r>
  <r>
    <n v="2"/>
    <n v="4"/>
    <n v="16"/>
    <n v="1503"/>
    <x v="0"/>
    <n v="0.38692799999999999"/>
    <x v="17"/>
  </r>
  <r>
    <n v="2"/>
    <n v="4"/>
    <n v="16"/>
    <n v="1503"/>
    <x v="0"/>
    <n v="0.35575200000000001"/>
    <x v="18"/>
  </r>
  <r>
    <n v="2"/>
    <n v="4"/>
    <n v="16"/>
    <n v="1695"/>
    <x v="1"/>
    <n v="0.79215999999999998"/>
    <x v="0"/>
  </r>
  <r>
    <n v="2"/>
    <n v="4"/>
    <n v="16"/>
    <n v="1695"/>
    <x v="1"/>
    <n v="0.65189799999999998"/>
    <x v="1"/>
  </r>
  <r>
    <n v="2"/>
    <n v="4"/>
    <n v="16"/>
    <n v="1695"/>
    <x v="1"/>
    <n v="0.58448999999999995"/>
    <x v="2"/>
  </r>
  <r>
    <n v="2"/>
    <n v="4"/>
    <n v="16"/>
    <n v="1695"/>
    <x v="1"/>
    <n v="0.54236799999999996"/>
    <x v="3"/>
  </r>
  <r>
    <n v="2"/>
    <n v="4"/>
    <n v="16"/>
    <n v="1695"/>
    <x v="1"/>
    <n v="0.50732500000000003"/>
    <x v="4"/>
  </r>
  <r>
    <n v="2"/>
    <n v="4"/>
    <n v="16"/>
    <n v="1695"/>
    <x v="1"/>
    <n v="0.47982900000000001"/>
    <x v="5"/>
  </r>
  <r>
    <n v="2"/>
    <n v="4"/>
    <n v="16"/>
    <n v="1695"/>
    <x v="1"/>
    <n v="0.45261600000000002"/>
    <x v="16"/>
  </r>
  <r>
    <n v="2"/>
    <n v="4"/>
    <n v="16"/>
    <n v="1695"/>
    <x v="1"/>
    <n v="0.43545200000000001"/>
    <x v="6"/>
  </r>
  <r>
    <n v="2"/>
    <n v="4"/>
    <n v="16"/>
    <n v="1695"/>
    <x v="1"/>
    <n v="0.41883399999999998"/>
    <x v="7"/>
  </r>
  <r>
    <n v="2"/>
    <n v="4"/>
    <n v="16"/>
    <n v="1695"/>
    <x v="1"/>
    <n v="0.40477099999999999"/>
    <x v="8"/>
  </r>
  <r>
    <n v="2"/>
    <n v="4"/>
    <n v="16"/>
    <n v="1695"/>
    <x v="1"/>
    <n v="0.37755899999999998"/>
    <x v="11"/>
  </r>
  <r>
    <n v="2"/>
    <n v="4"/>
    <n v="16"/>
    <n v="1695"/>
    <x v="1"/>
    <n v="0.37486599999999998"/>
    <x v="12"/>
  </r>
  <r>
    <n v="2"/>
    <n v="4"/>
    <n v="16"/>
    <n v="1695"/>
    <x v="1"/>
    <n v="0.37057899999999999"/>
    <x v="18"/>
  </r>
  <r>
    <n v="2"/>
    <n v="4"/>
    <n v="16"/>
    <n v="1695"/>
    <x v="1"/>
    <n v="0.36693599999999998"/>
    <x v="13"/>
  </r>
  <r>
    <n v="2"/>
    <n v="4"/>
    <n v="16"/>
    <n v="1695"/>
    <x v="1"/>
    <n v="0.36405799999999999"/>
    <x v="14"/>
  </r>
  <r>
    <n v="2"/>
    <n v="4"/>
    <n v="16"/>
    <n v="1695"/>
    <x v="1"/>
    <n v="0.36098799999999998"/>
    <x v="15"/>
  </r>
  <r>
    <n v="2"/>
    <n v="4"/>
    <n v="16"/>
    <n v="1695"/>
    <x v="1"/>
    <n v="0.39666099999999999"/>
    <x v="17"/>
  </r>
  <r>
    <n v="2"/>
    <n v="4"/>
    <n v="16"/>
    <n v="1695"/>
    <x v="1"/>
    <n v="0.38941999999999999"/>
    <x v="9"/>
  </r>
  <r>
    <n v="2"/>
    <n v="4"/>
    <n v="16"/>
    <n v="1695"/>
    <x v="1"/>
    <n v="0.38384099999999999"/>
    <x v="10"/>
  </r>
  <r>
    <n v="2"/>
    <n v="4"/>
    <n v="16"/>
    <n v="744"/>
    <x v="2"/>
    <n v="0.75153099999999995"/>
    <x v="0"/>
  </r>
  <r>
    <n v="2"/>
    <n v="4"/>
    <n v="16"/>
    <n v="744"/>
    <x v="2"/>
    <n v="0.54671499999999995"/>
    <x v="1"/>
  </r>
  <r>
    <n v="2"/>
    <n v="4"/>
    <n v="16"/>
    <n v="744"/>
    <x v="2"/>
    <n v="0.49748599999999998"/>
    <x v="2"/>
  </r>
  <r>
    <n v="2"/>
    <n v="4"/>
    <n v="16"/>
    <n v="744"/>
    <x v="2"/>
    <n v="0.461814"/>
    <x v="3"/>
  </r>
  <r>
    <n v="2"/>
    <n v="4"/>
    <n v="16"/>
    <n v="744"/>
    <x v="2"/>
    <n v="0.42262100000000002"/>
    <x v="4"/>
  </r>
  <r>
    <n v="2"/>
    <n v="4"/>
    <n v="16"/>
    <n v="744"/>
    <x v="2"/>
    <n v="0.40387899999999999"/>
    <x v="5"/>
  </r>
  <r>
    <n v="2"/>
    <n v="4"/>
    <n v="16"/>
    <n v="744"/>
    <x v="2"/>
    <n v="0.387575"/>
    <x v="16"/>
  </r>
  <r>
    <n v="2"/>
    <n v="4"/>
    <n v="16"/>
    <n v="744"/>
    <x v="2"/>
    <n v="0.37314999999999998"/>
    <x v="6"/>
  </r>
  <r>
    <n v="2"/>
    <n v="4"/>
    <n v="16"/>
    <n v="744"/>
    <x v="2"/>
    <n v="0.35992000000000002"/>
    <x v="7"/>
  </r>
  <r>
    <n v="2"/>
    <n v="4"/>
    <n v="16"/>
    <n v="744"/>
    <x v="2"/>
    <n v="0.35327500000000001"/>
    <x v="8"/>
  </r>
  <r>
    <n v="2"/>
    <n v="4"/>
    <n v="16"/>
    <n v="744"/>
    <x v="2"/>
    <n v="0.349138"/>
    <x v="17"/>
  </r>
  <r>
    <n v="2"/>
    <n v="4"/>
    <n v="16"/>
    <n v="744"/>
    <x v="2"/>
    <n v="0.34487800000000002"/>
    <x v="9"/>
  </r>
  <r>
    <n v="2"/>
    <n v="4"/>
    <n v="16"/>
    <n v="744"/>
    <x v="2"/>
    <n v="0.340918"/>
    <x v="10"/>
  </r>
  <r>
    <n v="2"/>
    <n v="4"/>
    <n v="16"/>
    <n v="744"/>
    <x v="2"/>
    <n v="0.33738099999999999"/>
    <x v="11"/>
  </r>
  <r>
    <n v="2"/>
    <n v="4"/>
    <n v="16"/>
    <n v="744"/>
    <x v="2"/>
    <n v="0.33478599999999997"/>
    <x v="12"/>
  </r>
  <r>
    <n v="2"/>
    <n v="4"/>
    <n v="16"/>
    <n v="744"/>
    <x v="2"/>
    <n v="0.33231100000000002"/>
    <x v="18"/>
  </r>
  <r>
    <n v="2"/>
    <n v="4"/>
    <n v="16"/>
    <n v="744"/>
    <x v="2"/>
    <n v="0.33019100000000001"/>
    <x v="13"/>
  </r>
  <r>
    <n v="2"/>
    <n v="4"/>
    <n v="16"/>
    <n v="744"/>
    <x v="2"/>
    <n v="0.328513"/>
    <x v="14"/>
  </r>
  <r>
    <n v="2"/>
    <n v="4"/>
    <n v="16"/>
    <n v="744"/>
    <x v="2"/>
    <n v="0.32707599999999998"/>
    <x v="15"/>
  </r>
  <r>
    <n v="2"/>
    <n v="4"/>
    <n v="16"/>
    <n v="959"/>
    <x v="3"/>
    <n v="0.78257399999999999"/>
    <x v="0"/>
  </r>
  <r>
    <n v="2"/>
    <n v="4"/>
    <n v="16"/>
    <n v="959"/>
    <x v="3"/>
    <n v="0.65959599999999996"/>
    <x v="1"/>
  </r>
  <r>
    <n v="2"/>
    <n v="4"/>
    <n v="16"/>
    <n v="959"/>
    <x v="3"/>
    <n v="0.57850100000000004"/>
    <x v="2"/>
  </r>
  <r>
    <n v="2"/>
    <n v="4"/>
    <n v="16"/>
    <n v="959"/>
    <x v="3"/>
    <n v="0.53082099999999999"/>
    <x v="3"/>
  </r>
  <r>
    <n v="2"/>
    <n v="4"/>
    <n v="16"/>
    <n v="959"/>
    <x v="3"/>
    <n v="0.49870999999999999"/>
    <x v="4"/>
  </r>
  <r>
    <n v="2"/>
    <n v="4"/>
    <n v="16"/>
    <n v="959"/>
    <x v="3"/>
    <n v="0.47870200000000002"/>
    <x v="5"/>
  </r>
  <r>
    <n v="2"/>
    <n v="4"/>
    <n v="16"/>
    <n v="959"/>
    <x v="3"/>
    <n v="0.46051900000000001"/>
    <x v="16"/>
  </r>
  <r>
    <n v="2"/>
    <n v="4"/>
    <n v="16"/>
    <n v="959"/>
    <x v="3"/>
    <n v="0.44621899999999998"/>
    <x v="6"/>
  </r>
  <r>
    <n v="2"/>
    <n v="4"/>
    <n v="16"/>
    <n v="959"/>
    <x v="3"/>
    <n v="0.43156299999999997"/>
    <x v="7"/>
  </r>
  <r>
    <n v="2"/>
    <n v="4"/>
    <n v="16"/>
    <n v="959"/>
    <x v="3"/>
    <n v="0.42316199999999998"/>
    <x v="8"/>
  </r>
  <r>
    <n v="2"/>
    <n v="4"/>
    <n v="16"/>
    <n v="959"/>
    <x v="3"/>
    <n v="0.41803899999999999"/>
    <x v="17"/>
  </r>
  <r>
    <n v="2"/>
    <n v="4"/>
    <n v="16"/>
    <n v="959"/>
    <x v="3"/>
    <n v="0.41304099999999999"/>
    <x v="9"/>
  </r>
  <r>
    <n v="2"/>
    <n v="4"/>
    <n v="16"/>
    <n v="959"/>
    <x v="3"/>
    <n v="0.40842000000000001"/>
    <x v="10"/>
  </r>
  <r>
    <n v="2"/>
    <n v="4"/>
    <n v="16"/>
    <n v="959"/>
    <x v="3"/>
    <n v="0.40229199999999998"/>
    <x v="11"/>
  </r>
  <r>
    <n v="2"/>
    <n v="4"/>
    <n v="16"/>
    <n v="959"/>
    <x v="3"/>
    <n v="0.40059499999999998"/>
    <x v="12"/>
  </r>
  <r>
    <n v="2"/>
    <n v="4"/>
    <n v="16"/>
    <n v="959"/>
    <x v="3"/>
    <n v="0.395868"/>
    <x v="18"/>
  </r>
  <r>
    <n v="2"/>
    <n v="4"/>
    <n v="16"/>
    <n v="959"/>
    <x v="3"/>
    <n v="0.39299099999999998"/>
    <x v="13"/>
  </r>
  <r>
    <n v="2"/>
    <n v="4"/>
    <n v="16"/>
    <n v="959"/>
    <x v="3"/>
    <n v="0.39248"/>
    <x v="14"/>
  </r>
  <r>
    <n v="2"/>
    <n v="4"/>
    <n v="16"/>
    <n v="959"/>
    <x v="3"/>
    <n v="0.389405"/>
    <x v="15"/>
  </r>
  <r>
    <n v="2"/>
    <n v="4"/>
    <n v="16"/>
    <n v="1384"/>
    <x v="4"/>
    <n v="0.76593199999999995"/>
    <x v="0"/>
  </r>
  <r>
    <n v="2"/>
    <n v="4"/>
    <n v="16"/>
    <n v="1384"/>
    <x v="4"/>
    <n v="0.64524199999999998"/>
    <x v="1"/>
  </r>
  <r>
    <n v="2"/>
    <n v="4"/>
    <n v="16"/>
    <n v="1384"/>
    <x v="4"/>
    <n v="0.55542400000000003"/>
    <x v="2"/>
  </r>
  <r>
    <n v="2"/>
    <n v="4"/>
    <n v="16"/>
    <n v="1384"/>
    <x v="4"/>
    <n v="0.52084600000000003"/>
    <x v="3"/>
  </r>
  <r>
    <n v="2"/>
    <n v="4"/>
    <n v="16"/>
    <n v="1384"/>
    <x v="4"/>
    <n v="0.48984899999999998"/>
    <x v="4"/>
  </r>
  <r>
    <n v="2"/>
    <n v="4"/>
    <n v="16"/>
    <n v="1384"/>
    <x v="4"/>
    <n v="0.47149799999999997"/>
    <x v="5"/>
  </r>
  <r>
    <n v="2"/>
    <n v="4"/>
    <n v="16"/>
    <n v="1384"/>
    <x v="4"/>
    <n v="0.45227800000000001"/>
    <x v="16"/>
  </r>
  <r>
    <n v="2"/>
    <n v="4"/>
    <n v="16"/>
    <n v="1384"/>
    <x v="4"/>
    <n v="0.43480000000000002"/>
    <x v="6"/>
  </r>
  <r>
    <n v="2"/>
    <n v="4"/>
    <n v="16"/>
    <n v="1384"/>
    <x v="4"/>
    <n v="0.41879"/>
    <x v="7"/>
  </r>
  <r>
    <n v="2"/>
    <n v="4"/>
    <n v="16"/>
    <n v="1384"/>
    <x v="4"/>
    <n v="0.40665899999999999"/>
    <x v="8"/>
  </r>
  <r>
    <n v="2"/>
    <n v="4"/>
    <n v="16"/>
    <n v="1384"/>
    <x v="4"/>
    <n v="0.39915200000000001"/>
    <x v="17"/>
  </r>
  <r>
    <n v="2"/>
    <n v="4"/>
    <n v="16"/>
    <n v="1384"/>
    <x v="4"/>
    <n v="0.39183600000000002"/>
    <x v="9"/>
  </r>
  <r>
    <n v="2"/>
    <n v="4"/>
    <n v="16"/>
    <n v="1384"/>
    <x v="4"/>
    <n v="0.38465899999999997"/>
    <x v="10"/>
  </r>
  <r>
    <n v="2"/>
    <n v="4"/>
    <n v="16"/>
    <n v="1384"/>
    <x v="4"/>
    <n v="0.37817400000000001"/>
    <x v="11"/>
  </r>
  <r>
    <n v="2"/>
    <n v="4"/>
    <n v="16"/>
    <n v="1384"/>
    <x v="4"/>
    <n v="0.37628200000000001"/>
    <x v="12"/>
  </r>
  <r>
    <n v="2"/>
    <n v="4"/>
    <n v="16"/>
    <n v="1384"/>
    <x v="4"/>
    <n v="0.37142900000000001"/>
    <x v="18"/>
  </r>
  <r>
    <n v="2"/>
    <n v="4"/>
    <n v="16"/>
    <n v="1384"/>
    <x v="4"/>
    <n v="0.36760199999999998"/>
    <x v="13"/>
  </r>
  <r>
    <n v="2"/>
    <n v="4"/>
    <n v="16"/>
    <n v="1384"/>
    <x v="4"/>
    <n v="0.36588999999999999"/>
    <x v="14"/>
  </r>
  <r>
    <n v="2"/>
    <n v="4"/>
    <n v="16"/>
    <n v="1384"/>
    <x v="4"/>
    <n v="0.36262"/>
    <x v="15"/>
  </r>
  <r>
    <n v="2"/>
    <n v="4"/>
    <n v="16"/>
    <n v="922"/>
    <x v="5"/>
    <n v="0.78575600000000001"/>
    <x v="0"/>
  </r>
  <r>
    <n v="2"/>
    <n v="4"/>
    <n v="16"/>
    <n v="922"/>
    <x v="5"/>
    <n v="0.65158499999999997"/>
    <x v="1"/>
  </r>
  <r>
    <n v="2"/>
    <n v="4"/>
    <n v="16"/>
    <n v="922"/>
    <x v="5"/>
    <n v="0.58987500000000004"/>
    <x v="2"/>
  </r>
  <r>
    <n v="2"/>
    <n v="4"/>
    <n v="16"/>
    <n v="922"/>
    <x v="5"/>
    <n v="0.53981000000000001"/>
    <x v="3"/>
  </r>
  <r>
    <n v="2"/>
    <n v="4"/>
    <n v="16"/>
    <n v="922"/>
    <x v="5"/>
    <n v="0.50188999999999995"/>
    <x v="4"/>
  </r>
  <r>
    <n v="2"/>
    <n v="4"/>
    <n v="16"/>
    <n v="922"/>
    <x v="5"/>
    <n v="0.47297800000000001"/>
    <x v="5"/>
  </r>
  <r>
    <n v="2"/>
    <n v="4"/>
    <n v="16"/>
    <n v="922"/>
    <x v="5"/>
    <n v="0.448075"/>
    <x v="16"/>
  </r>
  <r>
    <n v="2"/>
    <n v="4"/>
    <n v="16"/>
    <n v="922"/>
    <x v="5"/>
    <n v="0.43101699999999998"/>
    <x v="6"/>
  </r>
  <r>
    <n v="2"/>
    <n v="4"/>
    <n v="16"/>
    <n v="922"/>
    <x v="5"/>
    <n v="0.41861700000000002"/>
    <x v="7"/>
  </r>
  <r>
    <n v="2"/>
    <n v="4"/>
    <n v="16"/>
    <n v="922"/>
    <x v="5"/>
    <n v="0.41110000000000002"/>
    <x v="8"/>
  </r>
  <r>
    <n v="2"/>
    <n v="4"/>
    <n v="16"/>
    <n v="922"/>
    <x v="5"/>
    <n v="0.401698"/>
    <x v="17"/>
  </r>
  <r>
    <n v="2"/>
    <n v="4"/>
    <n v="16"/>
    <n v="922"/>
    <x v="5"/>
    <n v="0.39598100000000003"/>
    <x v="9"/>
  </r>
  <r>
    <n v="2"/>
    <n v="4"/>
    <n v="16"/>
    <n v="922"/>
    <x v="5"/>
    <n v="0.39097300000000001"/>
    <x v="10"/>
  </r>
  <r>
    <n v="2"/>
    <n v="4"/>
    <n v="16"/>
    <n v="922"/>
    <x v="5"/>
    <n v="0.38626199999999999"/>
    <x v="11"/>
  </r>
  <r>
    <n v="2"/>
    <n v="4"/>
    <n v="16"/>
    <n v="922"/>
    <x v="5"/>
    <n v="0.38214500000000001"/>
    <x v="12"/>
  </r>
  <r>
    <n v="2"/>
    <n v="4"/>
    <n v="16"/>
    <n v="922"/>
    <x v="5"/>
    <n v="0.37781100000000001"/>
    <x v="18"/>
  </r>
  <r>
    <n v="2"/>
    <n v="4"/>
    <n v="16"/>
    <n v="922"/>
    <x v="5"/>
    <n v="0.37438300000000002"/>
    <x v="13"/>
  </r>
  <r>
    <n v="2"/>
    <n v="4"/>
    <n v="16"/>
    <n v="922"/>
    <x v="5"/>
    <n v="0.37214900000000001"/>
    <x v="14"/>
  </r>
  <r>
    <n v="2"/>
    <n v="4"/>
    <n v="16"/>
    <n v="922"/>
    <x v="5"/>
    <n v="0.36997999999999998"/>
    <x v="15"/>
  </r>
  <r>
    <n v="2"/>
    <n v="4"/>
    <n v="16"/>
    <n v="642"/>
    <x v="6"/>
    <n v="0.76893"/>
    <x v="0"/>
  </r>
  <r>
    <n v="2"/>
    <n v="4"/>
    <n v="16"/>
    <n v="642"/>
    <x v="6"/>
    <n v="0.58089000000000002"/>
    <x v="1"/>
  </r>
  <r>
    <n v="2"/>
    <n v="4"/>
    <n v="16"/>
    <n v="642"/>
    <x v="6"/>
    <n v="0.52893699999999999"/>
    <x v="2"/>
  </r>
  <r>
    <n v="2"/>
    <n v="4"/>
    <n v="16"/>
    <n v="642"/>
    <x v="6"/>
    <n v="0.48880699999999999"/>
    <x v="3"/>
  </r>
  <r>
    <n v="2"/>
    <n v="4"/>
    <n v="16"/>
    <n v="642"/>
    <x v="6"/>
    <n v="0.45470899999999997"/>
    <x v="4"/>
  </r>
  <r>
    <n v="2"/>
    <n v="4"/>
    <n v="16"/>
    <n v="642"/>
    <x v="6"/>
    <n v="0.42961100000000002"/>
    <x v="5"/>
  </r>
  <r>
    <n v="2"/>
    <n v="4"/>
    <n v="16"/>
    <n v="642"/>
    <x v="6"/>
    <n v="0.40723300000000001"/>
    <x v="16"/>
  </r>
  <r>
    <n v="2"/>
    <n v="4"/>
    <n v="16"/>
    <n v="642"/>
    <x v="6"/>
    <n v="0.38869199999999998"/>
    <x v="6"/>
  </r>
  <r>
    <n v="2"/>
    <n v="4"/>
    <n v="16"/>
    <n v="642"/>
    <x v="6"/>
    <n v="0.37031900000000001"/>
    <x v="7"/>
  </r>
  <r>
    <n v="2"/>
    <n v="4"/>
    <n v="16"/>
    <n v="642"/>
    <x v="6"/>
    <n v="0.360568"/>
    <x v="8"/>
  </r>
  <r>
    <n v="2"/>
    <n v="4"/>
    <n v="16"/>
    <n v="642"/>
    <x v="6"/>
    <n v="0.35336899999999999"/>
    <x v="17"/>
  </r>
  <r>
    <n v="2"/>
    <n v="4"/>
    <n v="16"/>
    <n v="642"/>
    <x v="6"/>
    <n v="0.347306"/>
    <x v="9"/>
  </r>
  <r>
    <n v="2"/>
    <n v="4"/>
    <n v="16"/>
    <n v="642"/>
    <x v="6"/>
    <n v="0.34250000000000003"/>
    <x v="10"/>
  </r>
  <r>
    <n v="2"/>
    <n v="4"/>
    <n v="16"/>
    <n v="642"/>
    <x v="6"/>
    <n v="0.33129599999999998"/>
    <x v="18"/>
  </r>
  <r>
    <n v="2"/>
    <n v="4"/>
    <n v="16"/>
    <n v="642"/>
    <x v="6"/>
    <n v="0.32863500000000001"/>
    <x v="13"/>
  </r>
  <r>
    <m/>
    <m/>
    <m/>
    <m/>
    <x v="7"/>
    <m/>
    <x v="19"/>
  </r>
  <r>
    <n v="2"/>
    <n v="4"/>
    <n v="16"/>
    <n v="642"/>
    <x v="6"/>
    <n v="0.32499299999999998"/>
    <x v="15"/>
  </r>
  <r>
    <n v="2"/>
    <n v="4"/>
    <n v="16"/>
    <n v="642"/>
    <x v="6"/>
    <n v="0.32702700000000001"/>
    <x v="14"/>
  </r>
  <r>
    <n v="2"/>
    <n v="4"/>
    <n v="16"/>
    <n v="642"/>
    <x v="6"/>
    <n v="0.33870899999999998"/>
    <x v="11"/>
  </r>
  <r>
    <n v="2"/>
    <n v="4"/>
    <n v="16"/>
    <n v="642"/>
    <x v="6"/>
    <n v="0.33571400000000001"/>
    <x v="12"/>
  </r>
  <r>
    <n v="2"/>
    <n v="4"/>
    <n v="16"/>
    <n v="1979"/>
    <x v="8"/>
    <n v="0.80766400000000005"/>
    <x v="0"/>
  </r>
  <r>
    <n v="2"/>
    <n v="4"/>
    <n v="16"/>
    <n v="1979"/>
    <x v="8"/>
    <n v="0.55447800000000003"/>
    <x v="3"/>
  </r>
  <r>
    <n v="2"/>
    <n v="4"/>
    <n v="16"/>
    <n v="1979"/>
    <x v="8"/>
    <n v="0.66008100000000003"/>
    <x v="1"/>
  </r>
  <r>
    <n v="2"/>
    <n v="4"/>
    <n v="16"/>
    <n v="1979"/>
    <x v="8"/>
    <n v="0.60474300000000003"/>
    <x v="2"/>
  </r>
  <r>
    <m/>
    <m/>
    <m/>
    <m/>
    <x v="7"/>
    <m/>
    <x v="19"/>
  </r>
  <r>
    <n v="2"/>
    <n v="4"/>
    <n v="16"/>
    <n v="1979"/>
    <x v="8"/>
    <n v="0.52154199999999995"/>
    <x v="4"/>
  </r>
  <r>
    <n v="2"/>
    <n v="4"/>
    <n v="16"/>
    <n v="1979"/>
    <x v="8"/>
    <n v="0.49723400000000001"/>
    <x v="5"/>
  </r>
  <r>
    <n v="2"/>
    <n v="4"/>
    <n v="16"/>
    <n v="1979"/>
    <x v="8"/>
    <n v="0.47531699999999999"/>
    <x v="16"/>
  </r>
  <r>
    <n v="2"/>
    <n v="4"/>
    <n v="16"/>
    <n v="1979"/>
    <x v="8"/>
    <n v="0.45522499999999999"/>
    <x v="6"/>
  </r>
  <r>
    <n v="2"/>
    <n v="4"/>
    <n v="16"/>
    <n v="1979"/>
    <x v="8"/>
    <n v="0.43048399999999998"/>
    <x v="7"/>
  </r>
  <r>
    <n v="2"/>
    <n v="4"/>
    <n v="16"/>
    <n v="1979"/>
    <x v="8"/>
    <n v="0.41189100000000001"/>
    <x v="8"/>
  </r>
  <r>
    <n v="2"/>
    <n v="4"/>
    <n v="16"/>
    <n v="1979"/>
    <x v="8"/>
    <n v="0.40243400000000001"/>
    <x v="17"/>
  </r>
  <r>
    <n v="2"/>
    <n v="4"/>
    <n v="16"/>
    <n v="1979"/>
    <x v="8"/>
    <n v="0.39280199999999998"/>
    <x v="9"/>
  </r>
  <r>
    <n v="2"/>
    <n v="4"/>
    <n v="16"/>
    <n v="1979"/>
    <x v="8"/>
    <n v="0.38885900000000001"/>
    <x v="10"/>
  </r>
  <r>
    <n v="2"/>
    <n v="4"/>
    <n v="16"/>
    <n v="1979"/>
    <x v="8"/>
    <n v="0.38229000000000002"/>
    <x v="11"/>
  </r>
  <r>
    <n v="2"/>
    <n v="4"/>
    <n v="16"/>
    <n v="1979"/>
    <x v="8"/>
    <n v="0.37834699999999999"/>
    <x v="12"/>
  </r>
  <r>
    <n v="2"/>
    <n v="4"/>
    <n v="16"/>
    <n v="1979"/>
    <x v="8"/>
    <n v="0.37362899999999999"/>
    <x v="18"/>
  </r>
  <r>
    <n v="2"/>
    <n v="4"/>
    <n v="16"/>
    <n v="1979"/>
    <x v="8"/>
    <n v="0.36999599999999999"/>
    <x v="13"/>
  </r>
  <r>
    <n v="2"/>
    <n v="4"/>
    <n v="16"/>
    <n v="1979"/>
    <x v="8"/>
    <n v="0.36740099999999998"/>
    <x v="14"/>
  </r>
  <r>
    <n v="2"/>
    <n v="4"/>
    <n v="16"/>
    <n v="1979"/>
    <x v="8"/>
    <n v="0.364589"/>
    <x v="15"/>
  </r>
  <r>
    <n v="2"/>
    <n v="4"/>
    <n v="16"/>
    <n v="1904"/>
    <x v="9"/>
    <n v="0.78691900000000004"/>
    <x v="0"/>
  </r>
  <r>
    <n v="2"/>
    <n v="4"/>
    <n v="16"/>
    <n v="1904"/>
    <x v="9"/>
    <n v="0.66509799999999997"/>
    <x v="1"/>
  </r>
  <r>
    <n v="2"/>
    <n v="4"/>
    <n v="16"/>
    <n v="1904"/>
    <x v="9"/>
    <n v="0.58226100000000003"/>
    <x v="2"/>
  </r>
  <r>
    <n v="2"/>
    <n v="4"/>
    <n v="16"/>
    <n v="1904"/>
    <x v="9"/>
    <n v="0.53450200000000003"/>
    <x v="3"/>
  </r>
  <r>
    <n v="2"/>
    <n v="4"/>
    <n v="16"/>
    <n v="1904"/>
    <x v="9"/>
    <n v="0.50404899999999997"/>
    <x v="4"/>
  </r>
  <r>
    <n v="2"/>
    <n v="4"/>
    <n v="16"/>
    <n v="1904"/>
    <x v="9"/>
    <n v="0.48325299999999999"/>
    <x v="5"/>
  </r>
  <r>
    <n v="2"/>
    <n v="4"/>
    <n v="16"/>
    <n v="1904"/>
    <x v="9"/>
    <n v="0.46492800000000001"/>
    <x v="16"/>
  </r>
  <r>
    <n v="2"/>
    <n v="4"/>
    <n v="16"/>
    <n v="1904"/>
    <x v="9"/>
    <n v="0.45096700000000001"/>
    <x v="6"/>
  </r>
  <r>
    <n v="2"/>
    <n v="4"/>
    <n v="16"/>
    <n v="1904"/>
    <x v="9"/>
    <n v="0.43796299999999999"/>
    <x v="7"/>
  </r>
  <r>
    <n v="2"/>
    <n v="4"/>
    <n v="16"/>
    <n v="1904"/>
    <x v="9"/>
    <n v="0.42591699999999999"/>
    <x v="8"/>
  </r>
  <r>
    <n v="2"/>
    <n v="4"/>
    <n v="16"/>
    <n v="1904"/>
    <x v="9"/>
    <n v="0.41769699999999998"/>
    <x v="17"/>
  </r>
  <r>
    <n v="2"/>
    <n v="4"/>
    <n v="16"/>
    <n v="1904"/>
    <x v="9"/>
    <n v="0.41078999999999999"/>
    <x v="9"/>
  </r>
  <r>
    <n v="2"/>
    <n v="4"/>
    <n v="16"/>
    <n v="1904"/>
    <x v="9"/>
    <n v="0.40414600000000001"/>
    <x v="10"/>
  </r>
  <r>
    <n v="2"/>
    <n v="4"/>
    <n v="16"/>
    <n v="1904"/>
    <x v="9"/>
    <n v="0.39693899999999999"/>
    <x v="11"/>
  </r>
  <r>
    <n v="2"/>
    <n v="4"/>
    <n v="16"/>
    <n v="1904"/>
    <x v="9"/>
    <n v="0.39359899999999998"/>
    <x v="12"/>
  </r>
  <r>
    <n v="2"/>
    <n v="4"/>
    <n v="16"/>
    <n v="1904"/>
    <x v="9"/>
    <n v="0.38913300000000001"/>
    <x v="18"/>
  </r>
  <r>
    <n v="2"/>
    <n v="4"/>
    <n v="16"/>
    <n v="1904"/>
    <x v="9"/>
    <n v="0.38587500000000002"/>
    <x v="13"/>
  </r>
  <r>
    <n v="2"/>
    <n v="4"/>
    <n v="16"/>
    <n v="1904"/>
    <x v="9"/>
    <n v="0.384218"/>
    <x v="14"/>
  </r>
  <r>
    <n v="2"/>
    <n v="4"/>
    <n v="16"/>
    <n v="1904"/>
    <x v="9"/>
    <n v="0.38242399999999999"/>
    <x v="15"/>
  </r>
  <r>
    <n v="2"/>
    <n v="4"/>
    <n v="16"/>
    <n v="937"/>
    <x v="10"/>
    <n v="0.73970000000000002"/>
    <x v="0"/>
  </r>
  <r>
    <n v="2"/>
    <n v="4"/>
    <n v="16"/>
    <n v="937"/>
    <x v="10"/>
    <n v="0.62065000000000003"/>
    <x v="1"/>
  </r>
  <r>
    <n v="2"/>
    <n v="4"/>
    <n v="16"/>
    <n v="937"/>
    <x v="10"/>
    <n v="0.53709300000000004"/>
    <x v="2"/>
  </r>
  <r>
    <n v="2"/>
    <n v="4"/>
    <n v="16"/>
    <n v="937"/>
    <x v="10"/>
    <n v="0.49893900000000002"/>
    <x v="3"/>
  </r>
  <r>
    <n v="2"/>
    <n v="4"/>
    <n v="16"/>
    <n v="937"/>
    <x v="10"/>
    <n v="0.46834799999999999"/>
    <x v="4"/>
  </r>
  <r>
    <n v="2"/>
    <n v="4"/>
    <n v="16"/>
    <n v="937"/>
    <x v="10"/>
    <n v="0.44864399999999999"/>
    <x v="5"/>
  </r>
  <r>
    <n v="2"/>
    <n v="4"/>
    <n v="16"/>
    <n v="937"/>
    <x v="10"/>
    <n v="0.39418300000000001"/>
    <x v="8"/>
  </r>
  <r>
    <n v="2"/>
    <n v="4"/>
    <n v="16"/>
    <n v="937"/>
    <x v="10"/>
    <n v="0.43073099999999998"/>
    <x v="16"/>
  </r>
  <r>
    <n v="2"/>
    <n v="4"/>
    <n v="16"/>
    <n v="937"/>
    <x v="10"/>
    <n v="0.38212400000000002"/>
    <x v="17"/>
  </r>
  <r>
    <n v="2"/>
    <n v="4"/>
    <n v="16"/>
    <n v="937"/>
    <x v="10"/>
    <n v="0.41649599999999998"/>
    <x v="6"/>
  </r>
  <r>
    <n v="2"/>
    <n v="4"/>
    <n v="16"/>
    <n v="937"/>
    <x v="10"/>
    <n v="0.37715100000000001"/>
    <x v="9"/>
  </r>
  <r>
    <n v="2"/>
    <n v="4"/>
    <n v="16"/>
    <n v="937"/>
    <x v="10"/>
    <n v="0.37067899999999998"/>
    <x v="10"/>
  </r>
  <r>
    <n v="2"/>
    <n v="4"/>
    <n v="16"/>
    <n v="937"/>
    <x v="10"/>
    <n v="0.404032"/>
    <x v="7"/>
  </r>
  <r>
    <n v="2"/>
    <n v="4"/>
    <n v="16"/>
    <n v="937"/>
    <x v="10"/>
    <n v="0.36634899999999998"/>
    <x v="11"/>
  </r>
  <r>
    <n v="2"/>
    <n v="4"/>
    <n v="16"/>
    <n v="937"/>
    <x v="10"/>
    <n v="0.36274499999999998"/>
    <x v="12"/>
  </r>
  <r>
    <n v="2"/>
    <n v="4"/>
    <n v="16"/>
    <n v="937"/>
    <x v="10"/>
    <n v="0.36036600000000002"/>
    <x v="18"/>
  </r>
  <r>
    <n v="2"/>
    <n v="4"/>
    <n v="16"/>
    <n v="937"/>
    <x v="10"/>
    <n v="0.35798799999999997"/>
    <x v="13"/>
  </r>
  <r>
    <n v="2"/>
    <n v="4"/>
    <n v="16"/>
    <n v="937"/>
    <x v="10"/>
    <n v="0.35597099999999998"/>
    <x v="14"/>
  </r>
  <r>
    <n v="2"/>
    <n v="4"/>
    <n v="16"/>
    <n v="937"/>
    <x v="10"/>
    <n v="0.35427500000000001"/>
    <x v="15"/>
  </r>
  <r>
    <m/>
    <m/>
    <m/>
    <m/>
    <x v="7"/>
    <m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73583-F537-4254-9E63-400AA03DB151}" name="PivotTable1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233" firstHeaderRow="1" firstDataRow="1" firstDataCol="1"/>
  <pivotFields count="7">
    <pivotField showAll="0"/>
    <pivotField showAll="0"/>
    <pivotField showAll="0"/>
    <pivotField showAll="0"/>
    <pivotField axis="axisRow" showAll="0">
      <items count="13">
        <item x="2"/>
        <item x="3"/>
        <item x="5"/>
        <item x="6"/>
        <item x="10"/>
        <item x="7"/>
        <item x="4"/>
        <item x="1"/>
        <item x="0"/>
        <item x="8"/>
        <item x="9"/>
        <item m="1" x="11"/>
        <item t="default"/>
      </items>
    </pivotField>
    <pivotField dataField="1" showAll="0"/>
    <pivotField axis="axisRow" showAll="0">
      <items count="26">
        <item m="1" x="20"/>
        <item x="0"/>
        <item x="1"/>
        <item x="2"/>
        <item x="3"/>
        <item x="4"/>
        <item x="5"/>
        <item x="16"/>
        <item x="6"/>
        <item x="7"/>
        <item x="8"/>
        <item x="17"/>
        <item x="9"/>
        <item x="10"/>
        <item x="11"/>
        <item x="12"/>
        <item x="18"/>
        <item x="13"/>
        <item x="14"/>
        <item x="15"/>
        <item x="19"/>
        <item m="1" x="23"/>
        <item m="1" x="24"/>
        <item m="1" x="21"/>
        <item m="1" x="22"/>
        <item t="default"/>
      </items>
    </pivotField>
  </pivotFields>
  <rowFields count="2">
    <field x="4"/>
    <field x="6"/>
  </rowFields>
  <rowItems count="203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5"/>
    </i>
    <i r="1">
      <x v="20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Items count="1">
    <i/>
  </colItems>
  <dataFields count="1">
    <dataField name="Average of ratio" fld="5" subtotal="average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DE67-1FEA-4563-8231-ED5A3A7A1072}">
  <dimension ref="A1:Q233"/>
  <sheetViews>
    <sheetView tabSelected="1" workbookViewId="0">
      <selection activeCell="C27" sqref="C27"/>
    </sheetView>
  </sheetViews>
  <sheetFormatPr defaultRowHeight="15" x14ac:dyDescent="0.25"/>
  <cols>
    <col min="1" max="1" width="24.42578125" bestFit="1" customWidth="1"/>
    <col min="2" max="2" width="15.140625" bestFit="1" customWidth="1"/>
    <col min="3" max="3" width="17.42578125" bestFit="1" customWidth="1"/>
  </cols>
  <sheetData>
    <row r="1" spans="1:15" x14ac:dyDescent="0.25">
      <c r="A1" t="s">
        <v>46</v>
      </c>
    </row>
    <row r="3" spans="1:15" x14ac:dyDescent="0.25">
      <c r="A3" s="6" t="s">
        <v>47</v>
      </c>
      <c r="B3" s="6"/>
      <c r="C3" s="6"/>
      <c r="D3" s="6"/>
      <c r="E3" s="6"/>
      <c r="F3" s="6"/>
      <c r="G3" s="6"/>
      <c r="K3" s="6" t="s">
        <v>48</v>
      </c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K4" s="6"/>
      <c r="L4" s="6"/>
      <c r="M4" s="6"/>
      <c r="N4" s="6"/>
      <c r="O4" s="6"/>
    </row>
    <row r="5" spans="1:15" x14ac:dyDescent="0.25">
      <c r="A5" s="6"/>
      <c r="B5" s="6" t="s">
        <v>12</v>
      </c>
      <c r="C5" s="6"/>
      <c r="D5" s="6"/>
      <c r="E5" s="6" t="s">
        <v>13</v>
      </c>
      <c r="F5" s="6"/>
      <c r="G5" s="6"/>
      <c r="K5" s="6"/>
      <c r="L5" s="6" t="s">
        <v>41</v>
      </c>
      <c r="M5" s="6"/>
      <c r="N5" s="6"/>
      <c r="O5" s="6"/>
    </row>
    <row r="6" spans="1:15" x14ac:dyDescent="0.25">
      <c r="A6" s="6"/>
      <c r="B6" s="6" t="s">
        <v>14</v>
      </c>
      <c r="C6" s="6" t="s">
        <v>15</v>
      </c>
      <c r="D6" s="6" t="s">
        <v>40</v>
      </c>
      <c r="E6" s="6" t="s">
        <v>14</v>
      </c>
      <c r="F6" s="6" t="s">
        <v>15</v>
      </c>
      <c r="G6" s="6" t="s">
        <v>40</v>
      </c>
      <c r="K6" s="6" t="s">
        <v>11</v>
      </c>
      <c r="L6" s="6" t="s">
        <v>42</v>
      </c>
      <c r="M6" s="6" t="s">
        <v>43</v>
      </c>
      <c r="N6" s="6" t="s">
        <v>44</v>
      </c>
      <c r="O6" s="6"/>
    </row>
    <row r="7" spans="1:15" x14ac:dyDescent="0.25">
      <c r="A7" s="6" t="s">
        <v>20</v>
      </c>
      <c r="B7" s="6">
        <v>9</v>
      </c>
      <c r="C7" s="6">
        <v>9</v>
      </c>
      <c r="D7" s="6">
        <v>10</v>
      </c>
      <c r="E7" s="6">
        <v>38.869999999999997</v>
      </c>
      <c r="F7" s="6">
        <v>38.69</v>
      </c>
      <c r="G7" s="6">
        <v>37.4</v>
      </c>
      <c r="K7" s="6" t="s">
        <v>20</v>
      </c>
      <c r="L7" s="6">
        <v>38.869999999999997</v>
      </c>
      <c r="M7" s="6">
        <v>39.799999999999997</v>
      </c>
      <c r="N7" s="6">
        <v>2.3925906869050677</v>
      </c>
      <c r="O7" s="6"/>
    </row>
    <row r="8" spans="1:15" x14ac:dyDescent="0.25">
      <c r="A8" s="6" t="s">
        <v>17</v>
      </c>
      <c r="B8" s="6">
        <v>8</v>
      </c>
      <c r="C8" s="6">
        <v>8</v>
      </c>
      <c r="D8" s="6">
        <v>10</v>
      </c>
      <c r="E8" s="6">
        <v>38.76</v>
      </c>
      <c r="F8" s="6">
        <v>38.76</v>
      </c>
      <c r="G8" s="6">
        <v>36.770000000000003</v>
      </c>
      <c r="K8" s="6" t="s">
        <v>17</v>
      </c>
      <c r="L8" s="6">
        <v>38.76</v>
      </c>
      <c r="M8" s="6">
        <v>38.4</v>
      </c>
      <c r="N8" s="6">
        <v>-0.92879256965944135</v>
      </c>
      <c r="O8" s="6"/>
    </row>
    <row r="9" spans="1:15" x14ac:dyDescent="0.25">
      <c r="A9" s="6" t="s">
        <v>19</v>
      </c>
      <c r="B9" s="6">
        <v>13</v>
      </c>
      <c r="C9" s="6">
        <v>12</v>
      </c>
      <c r="D9" s="6">
        <v>13</v>
      </c>
      <c r="E9" s="6">
        <v>39.6</v>
      </c>
      <c r="F9" s="6">
        <v>41.17</v>
      </c>
      <c r="G9" s="6">
        <v>39.89</v>
      </c>
      <c r="K9" s="6" t="s">
        <v>19</v>
      </c>
      <c r="L9" s="6">
        <v>39.6</v>
      </c>
      <c r="M9" s="6">
        <v>39.979999999999997</v>
      </c>
      <c r="N9" s="6">
        <v>0.95959595959594812</v>
      </c>
      <c r="O9" s="6"/>
    </row>
    <row r="10" spans="1:15" x14ac:dyDescent="0.25">
      <c r="A10" s="6" t="s">
        <v>21</v>
      </c>
      <c r="B10" s="6">
        <v>11</v>
      </c>
      <c r="C10" s="6">
        <v>8</v>
      </c>
      <c r="D10" s="6">
        <v>11</v>
      </c>
      <c r="E10" s="6">
        <v>39.42</v>
      </c>
      <c r="F10" s="6">
        <v>42.98</v>
      </c>
      <c r="G10" s="6">
        <v>39.56</v>
      </c>
      <c r="K10" s="6" t="s">
        <v>21</v>
      </c>
      <c r="L10" s="6">
        <v>39.42</v>
      </c>
      <c r="M10" s="6">
        <v>39.520000000000003</v>
      </c>
      <c r="N10" s="6">
        <v>0.2506265664160508</v>
      </c>
      <c r="O10" s="6"/>
    </row>
    <row r="11" spans="1:15" x14ac:dyDescent="0.25">
      <c r="A11" s="6" t="s">
        <v>18</v>
      </c>
      <c r="B11" s="6">
        <v>17</v>
      </c>
      <c r="C11" s="6">
        <v>15</v>
      </c>
      <c r="D11" s="6">
        <v>16</v>
      </c>
      <c r="E11" s="6">
        <v>39.590000000000003</v>
      </c>
      <c r="F11" s="6">
        <v>40.54</v>
      </c>
      <c r="G11" s="6">
        <v>40.29</v>
      </c>
      <c r="K11" s="6" t="s">
        <v>18</v>
      </c>
      <c r="L11" s="6">
        <v>39.590000000000003</v>
      </c>
      <c r="M11" s="6">
        <v>39.82</v>
      </c>
      <c r="N11" s="6">
        <v>0.5809547865622553</v>
      </c>
      <c r="O11" s="6"/>
    </row>
    <row r="12" spans="1:15" x14ac:dyDescent="0.25">
      <c r="A12" s="6" t="s">
        <v>22</v>
      </c>
      <c r="B12" s="6">
        <v>12</v>
      </c>
      <c r="C12" s="6">
        <v>13</v>
      </c>
      <c r="D12" s="6">
        <v>13</v>
      </c>
      <c r="E12" s="6">
        <v>39.92</v>
      </c>
      <c r="F12" s="6">
        <v>39.25</v>
      </c>
      <c r="G12" s="6">
        <v>39.61</v>
      </c>
      <c r="K12" s="6" t="s">
        <v>22</v>
      </c>
      <c r="L12" s="6">
        <v>39.92</v>
      </c>
      <c r="M12" s="6">
        <v>40.93</v>
      </c>
      <c r="N12" s="6">
        <v>2.530060120240476</v>
      </c>
      <c r="O12" s="6"/>
    </row>
    <row r="13" spans="1:15" x14ac:dyDescent="0.25">
      <c r="A13" s="6" t="s">
        <v>24</v>
      </c>
      <c r="B13" s="6">
        <v>12</v>
      </c>
      <c r="C13" s="6">
        <v>12</v>
      </c>
      <c r="D13" s="6">
        <v>13</v>
      </c>
      <c r="E13" s="6">
        <v>38.69</v>
      </c>
      <c r="F13" s="6">
        <v>39.119999999999997</v>
      </c>
      <c r="G13" s="6">
        <v>38.97</v>
      </c>
      <c r="K13" s="6" t="s">
        <v>24</v>
      </c>
      <c r="L13" s="6">
        <v>38.69</v>
      </c>
      <c r="M13" s="6">
        <v>38.869999999999997</v>
      </c>
      <c r="N13" s="6">
        <v>0.46523649521840199</v>
      </c>
      <c r="O13" s="6"/>
    </row>
    <row r="14" spans="1:15" x14ac:dyDescent="0.25">
      <c r="A14" s="6" t="s">
        <v>23</v>
      </c>
      <c r="B14" s="6">
        <v>12</v>
      </c>
      <c r="C14" s="6">
        <v>14</v>
      </c>
      <c r="D14" s="6">
        <v>13</v>
      </c>
      <c r="E14" s="6">
        <v>39.67</v>
      </c>
      <c r="F14" s="6">
        <v>38.33</v>
      </c>
      <c r="G14" s="6">
        <v>39.33</v>
      </c>
      <c r="K14" s="6" t="s">
        <v>23</v>
      </c>
      <c r="L14" s="6">
        <v>39.67</v>
      </c>
      <c r="M14" s="6">
        <v>39.65</v>
      </c>
      <c r="N14" s="6">
        <v>-5.0415931434341123E-2</v>
      </c>
      <c r="O14" s="6"/>
    </row>
    <row r="15" spans="1:15" x14ac:dyDescent="0.25">
      <c r="A15" s="6" t="s">
        <v>26</v>
      </c>
      <c r="B15" s="6">
        <v>15</v>
      </c>
      <c r="C15" s="6">
        <v>21</v>
      </c>
      <c r="D15" s="6">
        <v>15</v>
      </c>
      <c r="E15" s="6">
        <v>39.69</v>
      </c>
      <c r="F15" s="6">
        <v>38.06</v>
      </c>
      <c r="G15" s="6">
        <v>39.69</v>
      </c>
      <c r="K15" s="6" t="s">
        <v>26</v>
      </c>
      <c r="L15" s="6">
        <v>39.69</v>
      </c>
      <c r="M15" s="6">
        <v>40.18</v>
      </c>
      <c r="N15" s="6">
        <v>1.2345679012345729</v>
      </c>
      <c r="O15" s="6"/>
    </row>
    <row r="16" spans="1:15" x14ac:dyDescent="0.25">
      <c r="A16" s="6" t="s">
        <v>25</v>
      </c>
      <c r="B16" s="6">
        <v>13</v>
      </c>
      <c r="C16" s="6">
        <v>15</v>
      </c>
      <c r="D16" s="6">
        <v>13</v>
      </c>
      <c r="E16" s="6">
        <v>39.28</v>
      </c>
      <c r="F16" s="6">
        <v>38.630000000000003</v>
      </c>
      <c r="G16" s="6">
        <v>39.94</v>
      </c>
      <c r="K16" s="6" t="s">
        <v>25</v>
      </c>
      <c r="L16" s="6">
        <v>39.28</v>
      </c>
      <c r="M16" s="6">
        <v>39.549999999999997</v>
      </c>
      <c r="N16" s="6">
        <v>0.68737270875762735</v>
      </c>
      <c r="O16" s="6"/>
    </row>
    <row r="17" spans="1:17" x14ac:dyDescent="0.25">
      <c r="A17" s="6"/>
      <c r="B17" s="6"/>
      <c r="C17" s="6"/>
      <c r="D17" s="6"/>
      <c r="E17" s="6"/>
      <c r="F17" s="6"/>
      <c r="G17" s="6"/>
      <c r="K17" s="6" t="s">
        <v>45</v>
      </c>
      <c r="L17" s="6">
        <v>39.349120000000006</v>
      </c>
      <c r="M17" s="6">
        <v>39.67</v>
      </c>
      <c r="N17" s="6">
        <v>0.81546931672168355</v>
      </c>
      <c r="O17" s="6"/>
    </row>
    <row r="18" spans="1:17" x14ac:dyDescent="0.25">
      <c r="K18" s="6"/>
      <c r="L18" s="6"/>
      <c r="M18" s="6"/>
      <c r="N18" s="6"/>
      <c r="O18" s="6"/>
    </row>
    <row r="26" spans="1:17" x14ac:dyDescent="0.25">
      <c r="F26" s="6" t="s">
        <v>51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t="s">
        <v>72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F29" s="6"/>
      <c r="G29" s="6" t="s">
        <v>20</v>
      </c>
      <c r="H29" s="6" t="s">
        <v>17</v>
      </c>
      <c r="I29" s="6" t="s">
        <v>19</v>
      </c>
      <c r="J29" s="6" t="s">
        <v>21</v>
      </c>
      <c r="K29" s="6" t="s">
        <v>18</v>
      </c>
      <c r="L29" s="6" t="s">
        <v>22</v>
      </c>
      <c r="M29" s="6" t="s">
        <v>24</v>
      </c>
      <c r="N29" s="6" t="s">
        <v>23</v>
      </c>
      <c r="O29" s="6" t="s">
        <v>26</v>
      </c>
      <c r="P29" s="6" t="s">
        <v>25</v>
      </c>
      <c r="Q29" s="6"/>
    </row>
    <row r="30" spans="1:17" x14ac:dyDescent="0.25">
      <c r="A30" s="3" t="s">
        <v>55</v>
      </c>
      <c r="B30" t="s">
        <v>56</v>
      </c>
      <c r="F30" s="6">
        <v>2</v>
      </c>
      <c r="G30" s="6">
        <f>GETPIVOTDATA("ratio",$A$30,"dataset","datasets/"&amp;G$29&amp;".xml","packSize",$F30)</f>
        <v>0.76893</v>
      </c>
      <c r="H30" s="6">
        <f t="shared" ref="H30:P30" si="0">GETPIVOTDATA("ratio",$A$30,"dataset","datasets/"&amp;H$29&amp;".xml","packSize",$F30)</f>
        <v>0.75153099999999995</v>
      </c>
      <c r="I30" s="6">
        <f t="shared" si="0"/>
        <v>0.78575600000000001</v>
      </c>
      <c r="J30" s="6">
        <f t="shared" si="0"/>
        <v>0.73970000000000002</v>
      </c>
      <c r="K30" s="6">
        <f t="shared" si="0"/>
        <v>0.78257399999999999</v>
      </c>
      <c r="L30" s="6">
        <f t="shared" si="0"/>
        <v>0.76593199999999995</v>
      </c>
      <c r="M30" s="6">
        <f t="shared" si="0"/>
        <v>0.78949800000000003</v>
      </c>
      <c r="N30" s="6">
        <f t="shared" si="0"/>
        <v>0.79215999999999998</v>
      </c>
      <c r="O30" s="6">
        <f t="shared" si="0"/>
        <v>0.78691900000000004</v>
      </c>
      <c r="P30" s="6">
        <f t="shared" si="0"/>
        <v>0.80766400000000005</v>
      </c>
      <c r="Q30" s="6"/>
    </row>
    <row r="31" spans="1:17" x14ac:dyDescent="0.25">
      <c r="A31" s="2" t="s">
        <v>65</v>
      </c>
      <c r="B31" s="4">
        <v>0.39911357894736843</v>
      </c>
      <c r="F31" s="6">
        <v>3</v>
      </c>
      <c r="G31" s="6">
        <f t="shared" ref="G31:P48" si="1">GETPIVOTDATA("ratio",$A$30,"dataset","datasets/"&amp;G$29&amp;".xml","packSize",$F31)</f>
        <v>0.58089000000000002</v>
      </c>
      <c r="H31" s="6">
        <f t="shared" si="1"/>
        <v>0.54671499999999995</v>
      </c>
      <c r="I31" s="6">
        <f t="shared" si="1"/>
        <v>0.65158499999999997</v>
      </c>
      <c r="J31" s="6">
        <f t="shared" si="1"/>
        <v>0.62065000000000003</v>
      </c>
      <c r="K31" s="6">
        <f t="shared" si="1"/>
        <v>0.65959599999999996</v>
      </c>
      <c r="L31" s="6">
        <f t="shared" si="1"/>
        <v>0.64524199999999998</v>
      </c>
      <c r="M31" s="6">
        <f t="shared" si="1"/>
        <v>0.638409</v>
      </c>
      <c r="N31" s="6">
        <f t="shared" si="1"/>
        <v>0.65189799999999998</v>
      </c>
      <c r="O31" s="6">
        <f t="shared" si="1"/>
        <v>0.66509799999999997</v>
      </c>
      <c r="P31" s="6">
        <f t="shared" si="1"/>
        <v>0.66008100000000003</v>
      </c>
      <c r="Q31" s="6"/>
    </row>
    <row r="32" spans="1:17" x14ac:dyDescent="0.25">
      <c r="A32" s="5">
        <v>2</v>
      </c>
      <c r="B32" s="4">
        <v>0.75153099999999995</v>
      </c>
      <c r="F32" s="6">
        <v>4</v>
      </c>
      <c r="G32" s="6">
        <f t="shared" si="1"/>
        <v>0.52893699999999999</v>
      </c>
      <c r="H32" s="6">
        <f t="shared" si="1"/>
        <v>0.49748599999999998</v>
      </c>
      <c r="I32" s="6">
        <f t="shared" si="1"/>
        <v>0.58987500000000004</v>
      </c>
      <c r="J32" s="6">
        <f t="shared" si="1"/>
        <v>0.53709300000000004</v>
      </c>
      <c r="K32" s="6">
        <f t="shared" si="1"/>
        <v>0.57850100000000004</v>
      </c>
      <c r="L32" s="6">
        <f t="shared" si="1"/>
        <v>0.55542400000000003</v>
      </c>
      <c r="M32" s="6">
        <f t="shared" si="1"/>
        <v>0.58730199999999999</v>
      </c>
      <c r="N32" s="6">
        <f t="shared" si="1"/>
        <v>0.58448999999999995</v>
      </c>
      <c r="O32" s="6">
        <f t="shared" si="1"/>
        <v>0.58226100000000003</v>
      </c>
      <c r="P32" s="6">
        <f t="shared" si="1"/>
        <v>0.60474300000000003</v>
      </c>
      <c r="Q32" s="6"/>
    </row>
    <row r="33" spans="1:17" x14ac:dyDescent="0.25">
      <c r="A33" s="5">
        <v>3</v>
      </c>
      <c r="B33" s="4">
        <v>0.54671499999999995</v>
      </c>
      <c r="F33" s="6">
        <v>5</v>
      </c>
      <c r="G33" s="6">
        <f t="shared" si="1"/>
        <v>0.48880699999999999</v>
      </c>
      <c r="H33" s="6">
        <f t="shared" si="1"/>
        <v>0.461814</v>
      </c>
      <c r="I33" s="6">
        <f t="shared" si="1"/>
        <v>0.53981000000000001</v>
      </c>
      <c r="J33" s="6">
        <f t="shared" si="1"/>
        <v>0.49893900000000002</v>
      </c>
      <c r="K33" s="6">
        <f t="shared" si="1"/>
        <v>0.53082099999999999</v>
      </c>
      <c r="L33" s="6">
        <f t="shared" si="1"/>
        <v>0.52084600000000003</v>
      </c>
      <c r="M33" s="6">
        <f t="shared" si="1"/>
        <v>0.54333299999999995</v>
      </c>
      <c r="N33" s="6">
        <f t="shared" si="1"/>
        <v>0.54236799999999996</v>
      </c>
      <c r="O33" s="6">
        <f t="shared" si="1"/>
        <v>0.53450200000000003</v>
      </c>
      <c r="P33" s="6">
        <f t="shared" si="1"/>
        <v>0.55447800000000003</v>
      </c>
      <c r="Q33" s="6"/>
    </row>
    <row r="34" spans="1:17" x14ac:dyDescent="0.25">
      <c r="A34" s="5">
        <v>4</v>
      </c>
      <c r="B34" s="4">
        <v>0.49748599999999998</v>
      </c>
      <c r="F34" s="6">
        <v>6</v>
      </c>
      <c r="G34" s="6">
        <f t="shared" si="1"/>
        <v>0.45470899999999997</v>
      </c>
      <c r="H34" s="6">
        <f t="shared" si="1"/>
        <v>0.42262100000000002</v>
      </c>
      <c r="I34" s="6">
        <f t="shared" si="1"/>
        <v>0.50188999999999995</v>
      </c>
      <c r="J34" s="6">
        <f t="shared" si="1"/>
        <v>0.46834799999999999</v>
      </c>
      <c r="K34" s="6">
        <f t="shared" si="1"/>
        <v>0.49870999999999999</v>
      </c>
      <c r="L34" s="6">
        <f t="shared" si="1"/>
        <v>0.48984899999999998</v>
      </c>
      <c r="M34" s="6">
        <f t="shared" si="1"/>
        <v>0.49675399999999997</v>
      </c>
      <c r="N34" s="6">
        <f t="shared" si="1"/>
        <v>0.50732500000000003</v>
      </c>
      <c r="O34" s="6">
        <f t="shared" si="1"/>
        <v>0.50404899999999997</v>
      </c>
      <c r="P34" s="6">
        <f t="shared" si="1"/>
        <v>0.52154199999999995</v>
      </c>
      <c r="Q34" s="6"/>
    </row>
    <row r="35" spans="1:17" x14ac:dyDescent="0.25">
      <c r="A35" s="5">
        <v>5</v>
      </c>
      <c r="B35" s="4">
        <v>0.461814</v>
      </c>
      <c r="F35" s="6">
        <v>7</v>
      </c>
      <c r="G35" s="6">
        <f t="shared" si="1"/>
        <v>0.42961100000000002</v>
      </c>
      <c r="H35" s="6">
        <f t="shared" si="1"/>
        <v>0.40387899999999999</v>
      </c>
      <c r="I35" s="6">
        <f t="shared" si="1"/>
        <v>0.47297800000000001</v>
      </c>
      <c r="J35" s="6">
        <f t="shared" si="1"/>
        <v>0.44864399999999999</v>
      </c>
      <c r="K35" s="6">
        <f t="shared" si="1"/>
        <v>0.47870200000000002</v>
      </c>
      <c r="L35" s="6">
        <f t="shared" si="1"/>
        <v>0.47149799999999997</v>
      </c>
      <c r="M35" s="6">
        <f t="shared" si="1"/>
        <v>0.47932799999999998</v>
      </c>
      <c r="N35" s="6">
        <f t="shared" si="1"/>
        <v>0.47982900000000001</v>
      </c>
      <c r="O35" s="6">
        <f t="shared" si="1"/>
        <v>0.48325299999999999</v>
      </c>
      <c r="P35" s="6">
        <f t="shared" si="1"/>
        <v>0.49723400000000001</v>
      </c>
      <c r="Q35" s="6"/>
    </row>
    <row r="36" spans="1:17" x14ac:dyDescent="0.25">
      <c r="A36" s="5">
        <v>6</v>
      </c>
      <c r="B36" s="4">
        <v>0.42262100000000002</v>
      </c>
      <c r="F36" s="6">
        <v>8</v>
      </c>
      <c r="G36" s="6">
        <f t="shared" si="1"/>
        <v>0.40723300000000001</v>
      </c>
      <c r="H36" s="6">
        <f t="shared" si="1"/>
        <v>0.387575</v>
      </c>
      <c r="I36" s="6">
        <f t="shared" si="1"/>
        <v>0.448075</v>
      </c>
      <c r="J36" s="6">
        <f t="shared" si="1"/>
        <v>0.43073099999999998</v>
      </c>
      <c r="K36" s="6">
        <f t="shared" si="1"/>
        <v>0.46051900000000001</v>
      </c>
      <c r="L36" s="6">
        <f t="shared" si="1"/>
        <v>0.45227800000000001</v>
      </c>
      <c r="M36" s="6">
        <f t="shared" si="1"/>
        <v>0.45796999999999999</v>
      </c>
      <c r="N36" s="6">
        <f t="shared" si="1"/>
        <v>0.45261600000000002</v>
      </c>
      <c r="O36" s="6">
        <f t="shared" si="1"/>
        <v>0.46492800000000001</v>
      </c>
      <c r="P36" s="6">
        <f t="shared" si="1"/>
        <v>0.47531699999999999</v>
      </c>
      <c r="Q36" s="6"/>
    </row>
    <row r="37" spans="1:17" x14ac:dyDescent="0.25">
      <c r="A37" s="5">
        <v>7</v>
      </c>
      <c r="B37" s="4">
        <v>0.40387899999999999</v>
      </c>
      <c r="F37" s="6">
        <v>9</v>
      </c>
      <c r="G37" s="6">
        <f t="shared" si="1"/>
        <v>0.38869199999999998</v>
      </c>
      <c r="H37" s="6">
        <f t="shared" si="1"/>
        <v>0.37314999999999998</v>
      </c>
      <c r="I37" s="6">
        <f t="shared" si="1"/>
        <v>0.43101699999999998</v>
      </c>
      <c r="J37" s="6">
        <f t="shared" si="1"/>
        <v>0.41649599999999998</v>
      </c>
      <c r="K37" s="6">
        <f t="shared" si="1"/>
        <v>0.44621899999999998</v>
      </c>
      <c r="L37" s="6">
        <f t="shared" si="1"/>
        <v>0.43480000000000002</v>
      </c>
      <c r="M37" s="6">
        <f t="shared" si="1"/>
        <v>0.43692599999999998</v>
      </c>
      <c r="N37" s="6">
        <f t="shared" si="1"/>
        <v>0.43545200000000001</v>
      </c>
      <c r="O37" s="6">
        <f t="shared" si="1"/>
        <v>0.45096700000000001</v>
      </c>
      <c r="P37" s="6">
        <f t="shared" si="1"/>
        <v>0.45522499999999999</v>
      </c>
      <c r="Q37" s="6"/>
    </row>
    <row r="38" spans="1:17" x14ac:dyDescent="0.25">
      <c r="A38" s="5">
        <v>8</v>
      </c>
      <c r="B38" s="4">
        <v>0.387575</v>
      </c>
      <c r="F38" s="6">
        <v>10</v>
      </c>
      <c r="G38" s="6">
        <f t="shared" si="1"/>
        <v>0.37031900000000001</v>
      </c>
      <c r="H38" s="6">
        <f t="shared" si="1"/>
        <v>0.35992000000000002</v>
      </c>
      <c r="I38" s="6">
        <f t="shared" si="1"/>
        <v>0.41861700000000002</v>
      </c>
      <c r="J38" s="6">
        <f t="shared" si="1"/>
        <v>0.404032</v>
      </c>
      <c r="K38" s="6">
        <f t="shared" si="1"/>
        <v>0.43156299999999997</v>
      </c>
      <c r="L38" s="6">
        <f t="shared" si="1"/>
        <v>0.41879</v>
      </c>
      <c r="M38" s="6">
        <f t="shared" si="1"/>
        <v>0.417049</v>
      </c>
      <c r="N38" s="6">
        <f t="shared" si="1"/>
        <v>0.41883399999999998</v>
      </c>
      <c r="O38" s="6">
        <f t="shared" si="1"/>
        <v>0.43796299999999999</v>
      </c>
      <c r="P38" s="6">
        <f t="shared" si="1"/>
        <v>0.43048399999999998</v>
      </c>
      <c r="Q38" s="6"/>
    </row>
    <row r="39" spans="1:17" x14ac:dyDescent="0.25">
      <c r="A39" s="5">
        <v>9</v>
      </c>
      <c r="B39" s="4">
        <v>0.37314999999999998</v>
      </c>
      <c r="F39" s="6">
        <v>11</v>
      </c>
      <c r="G39" s="6">
        <f t="shared" si="1"/>
        <v>0.360568</v>
      </c>
      <c r="H39" s="6">
        <f t="shared" si="1"/>
        <v>0.35327500000000001</v>
      </c>
      <c r="I39" s="6">
        <f t="shared" si="1"/>
        <v>0.41110000000000002</v>
      </c>
      <c r="J39" s="6">
        <f t="shared" si="1"/>
        <v>0.39418300000000001</v>
      </c>
      <c r="K39" s="6">
        <f t="shared" si="1"/>
        <v>0.42316199999999998</v>
      </c>
      <c r="L39" s="6">
        <f t="shared" si="1"/>
        <v>0.40665899999999999</v>
      </c>
      <c r="M39" s="6">
        <f t="shared" si="1"/>
        <v>0.40031800000000001</v>
      </c>
      <c r="N39" s="6">
        <f t="shared" si="1"/>
        <v>0.40477099999999999</v>
      </c>
      <c r="O39" s="6">
        <f t="shared" si="1"/>
        <v>0.42591699999999999</v>
      </c>
      <c r="P39" s="6">
        <f t="shared" si="1"/>
        <v>0.41189100000000001</v>
      </c>
      <c r="Q39" s="6"/>
    </row>
    <row r="40" spans="1:17" x14ac:dyDescent="0.25">
      <c r="A40" s="5">
        <v>10</v>
      </c>
      <c r="B40" s="4">
        <v>0.35992000000000002</v>
      </c>
      <c r="F40" s="6">
        <v>12</v>
      </c>
      <c r="G40" s="6">
        <f t="shared" si="1"/>
        <v>0.35336899999999999</v>
      </c>
      <c r="H40" s="6">
        <f t="shared" si="1"/>
        <v>0.349138</v>
      </c>
      <c r="I40" s="6">
        <f t="shared" si="1"/>
        <v>0.401698</v>
      </c>
      <c r="J40" s="6">
        <f t="shared" si="1"/>
        <v>0.38212400000000002</v>
      </c>
      <c r="K40" s="6">
        <f t="shared" si="1"/>
        <v>0.41803899999999999</v>
      </c>
      <c r="L40" s="6">
        <f t="shared" si="1"/>
        <v>0.39915200000000001</v>
      </c>
      <c r="M40" s="6">
        <f t="shared" si="1"/>
        <v>0.38692799999999999</v>
      </c>
      <c r="N40" s="6">
        <f t="shared" si="1"/>
        <v>0.39666099999999999</v>
      </c>
      <c r="O40" s="6">
        <f t="shared" si="1"/>
        <v>0.41769699999999998</v>
      </c>
      <c r="P40" s="6">
        <f t="shared" si="1"/>
        <v>0.40243400000000001</v>
      </c>
      <c r="Q40" s="6"/>
    </row>
    <row r="41" spans="1:17" x14ac:dyDescent="0.25">
      <c r="A41" s="5">
        <v>11</v>
      </c>
      <c r="B41" s="4">
        <v>0.35327500000000001</v>
      </c>
      <c r="F41" s="6">
        <v>13</v>
      </c>
      <c r="G41" s="6">
        <f t="shared" si="1"/>
        <v>0.347306</v>
      </c>
      <c r="H41" s="6">
        <f t="shared" si="1"/>
        <v>0.34487800000000002</v>
      </c>
      <c r="I41" s="6">
        <f t="shared" si="1"/>
        <v>0.39598100000000003</v>
      </c>
      <c r="J41" s="6">
        <f t="shared" si="1"/>
        <v>0.37715100000000001</v>
      </c>
      <c r="K41" s="6">
        <f t="shared" si="1"/>
        <v>0.41304099999999999</v>
      </c>
      <c r="L41" s="6">
        <f t="shared" si="1"/>
        <v>0.39183600000000002</v>
      </c>
      <c r="M41" s="6">
        <f t="shared" si="1"/>
        <v>0.37999100000000002</v>
      </c>
      <c r="N41" s="6">
        <f t="shared" si="1"/>
        <v>0.38941999999999999</v>
      </c>
      <c r="O41" s="6">
        <f t="shared" si="1"/>
        <v>0.41078999999999999</v>
      </c>
      <c r="P41" s="6">
        <f t="shared" si="1"/>
        <v>0.39280199999999998</v>
      </c>
      <c r="Q41" s="6"/>
    </row>
    <row r="42" spans="1:17" x14ac:dyDescent="0.25">
      <c r="A42" s="5">
        <v>12</v>
      </c>
      <c r="B42" s="4">
        <v>0.349138</v>
      </c>
      <c r="F42" s="6">
        <v>14</v>
      </c>
      <c r="G42" s="6">
        <f t="shared" si="1"/>
        <v>0.34250000000000003</v>
      </c>
      <c r="H42" s="6">
        <f t="shared" si="1"/>
        <v>0.340918</v>
      </c>
      <c r="I42" s="6">
        <f t="shared" si="1"/>
        <v>0.39097300000000001</v>
      </c>
      <c r="J42" s="6">
        <f t="shared" si="1"/>
        <v>0.37067899999999998</v>
      </c>
      <c r="K42" s="6">
        <f t="shared" si="1"/>
        <v>0.40842000000000001</v>
      </c>
      <c r="L42" s="6">
        <f t="shared" si="1"/>
        <v>0.38465899999999997</v>
      </c>
      <c r="M42" s="6">
        <f t="shared" si="1"/>
        <v>0.37187199999999998</v>
      </c>
      <c r="N42" s="6">
        <f t="shared" si="1"/>
        <v>0.38384099999999999</v>
      </c>
      <c r="O42" s="6">
        <f t="shared" si="1"/>
        <v>0.40414600000000001</v>
      </c>
      <c r="P42" s="6">
        <f t="shared" si="1"/>
        <v>0.38885900000000001</v>
      </c>
      <c r="Q42" s="6"/>
    </row>
    <row r="43" spans="1:17" x14ac:dyDescent="0.25">
      <c r="A43" s="5">
        <v>13</v>
      </c>
      <c r="B43" s="4">
        <v>0.34487800000000002</v>
      </c>
      <c r="F43" s="6">
        <v>15</v>
      </c>
      <c r="G43" s="6">
        <f t="shared" si="1"/>
        <v>0.33870899999999998</v>
      </c>
      <c r="H43" s="6">
        <f t="shared" si="1"/>
        <v>0.33738099999999999</v>
      </c>
      <c r="I43" s="6">
        <f t="shared" si="1"/>
        <v>0.38626199999999999</v>
      </c>
      <c r="J43" s="6">
        <f t="shared" si="1"/>
        <v>0.36634899999999998</v>
      </c>
      <c r="K43" s="6">
        <f t="shared" si="1"/>
        <v>0.40229199999999998</v>
      </c>
      <c r="L43" s="6">
        <f t="shared" si="1"/>
        <v>0.37817400000000001</v>
      </c>
      <c r="M43" s="6">
        <f t="shared" si="1"/>
        <v>0.36399500000000001</v>
      </c>
      <c r="N43" s="6">
        <f t="shared" si="1"/>
        <v>0.37755899999999998</v>
      </c>
      <c r="O43" s="6">
        <f t="shared" si="1"/>
        <v>0.39693899999999999</v>
      </c>
      <c r="P43" s="6">
        <f t="shared" si="1"/>
        <v>0.38229000000000002</v>
      </c>
      <c r="Q43" s="6"/>
    </row>
    <row r="44" spans="1:17" x14ac:dyDescent="0.25">
      <c r="A44" s="5">
        <v>14</v>
      </c>
      <c r="B44" s="4">
        <v>0.340918</v>
      </c>
      <c r="F44" s="6">
        <v>16</v>
      </c>
      <c r="G44" s="6">
        <f t="shared" si="1"/>
        <v>0.33571400000000001</v>
      </c>
      <c r="H44" s="6">
        <f t="shared" si="1"/>
        <v>0.33478599999999997</v>
      </c>
      <c r="I44" s="6">
        <f t="shared" si="1"/>
        <v>0.38214500000000001</v>
      </c>
      <c r="J44" s="6">
        <f t="shared" si="1"/>
        <v>0.36274499999999998</v>
      </c>
      <c r="K44" s="6">
        <f t="shared" si="1"/>
        <v>0.40059499999999998</v>
      </c>
      <c r="L44" s="6">
        <f t="shared" si="1"/>
        <v>0.37628200000000001</v>
      </c>
      <c r="M44" s="6">
        <f t="shared" si="1"/>
        <v>0.362458</v>
      </c>
      <c r="N44" s="6">
        <f t="shared" si="1"/>
        <v>0.37486599999999998</v>
      </c>
      <c r="O44" s="6">
        <f t="shared" si="1"/>
        <v>0.39359899999999998</v>
      </c>
      <c r="P44" s="6">
        <f t="shared" si="1"/>
        <v>0.37834699999999999</v>
      </c>
      <c r="Q44" s="6"/>
    </row>
    <row r="45" spans="1:17" x14ac:dyDescent="0.25">
      <c r="A45" s="5">
        <v>15</v>
      </c>
      <c r="B45" s="4">
        <v>0.33738099999999999</v>
      </c>
      <c r="F45" s="6">
        <v>17</v>
      </c>
      <c r="G45" s="6">
        <f t="shared" si="1"/>
        <v>0.33129599999999998</v>
      </c>
      <c r="H45" s="6">
        <f t="shared" si="1"/>
        <v>0.33231100000000002</v>
      </c>
      <c r="I45" s="6">
        <f t="shared" si="1"/>
        <v>0.37781100000000001</v>
      </c>
      <c r="J45" s="6">
        <f t="shared" si="1"/>
        <v>0.36036600000000002</v>
      </c>
      <c r="K45" s="6">
        <f t="shared" si="1"/>
        <v>0.395868</v>
      </c>
      <c r="L45" s="6">
        <f t="shared" si="1"/>
        <v>0.37142900000000001</v>
      </c>
      <c r="M45" s="6">
        <f t="shared" si="1"/>
        <v>0.35575200000000001</v>
      </c>
      <c r="N45" s="6">
        <f t="shared" si="1"/>
        <v>0.37057899999999999</v>
      </c>
      <c r="O45" s="6">
        <f t="shared" si="1"/>
        <v>0.38913300000000001</v>
      </c>
      <c r="P45" s="6">
        <f t="shared" si="1"/>
        <v>0.37362899999999999</v>
      </c>
      <c r="Q45" s="6"/>
    </row>
    <row r="46" spans="1:17" x14ac:dyDescent="0.25">
      <c r="A46" s="5">
        <v>16</v>
      </c>
      <c r="B46" s="4">
        <v>0.33478599999999997</v>
      </c>
      <c r="F46" s="6">
        <v>18</v>
      </c>
      <c r="G46" s="6">
        <f t="shared" si="1"/>
        <v>0.32863500000000001</v>
      </c>
      <c r="H46" s="6">
        <f t="shared" si="1"/>
        <v>0.33019100000000001</v>
      </c>
      <c r="I46" s="6">
        <f t="shared" si="1"/>
        <v>0.37438300000000002</v>
      </c>
      <c r="J46" s="6">
        <f t="shared" si="1"/>
        <v>0.35798799999999997</v>
      </c>
      <c r="K46" s="6">
        <f t="shared" si="1"/>
        <v>0.39299099999999998</v>
      </c>
      <c r="L46" s="6">
        <f t="shared" si="1"/>
        <v>0.36760199999999998</v>
      </c>
      <c r="M46" s="6">
        <f t="shared" si="1"/>
        <v>0.35202299999999997</v>
      </c>
      <c r="N46" s="6">
        <f t="shared" si="1"/>
        <v>0.36693599999999998</v>
      </c>
      <c r="O46" s="6">
        <f t="shared" si="1"/>
        <v>0.38587500000000002</v>
      </c>
      <c r="P46" s="6">
        <f t="shared" si="1"/>
        <v>0.36999599999999999</v>
      </c>
      <c r="Q46" s="6"/>
    </row>
    <row r="47" spans="1:17" x14ac:dyDescent="0.25">
      <c r="A47" s="5">
        <v>17</v>
      </c>
      <c r="B47" s="4">
        <v>0.33231100000000002</v>
      </c>
      <c r="F47" s="6">
        <v>19</v>
      </c>
      <c r="G47" s="6">
        <f t="shared" si="1"/>
        <v>0.32702700000000001</v>
      </c>
      <c r="H47" s="6">
        <f t="shared" si="1"/>
        <v>0.328513</v>
      </c>
      <c r="I47" s="6">
        <f t="shared" si="1"/>
        <v>0.37214900000000001</v>
      </c>
      <c r="J47" s="6">
        <f t="shared" si="1"/>
        <v>0.35597099999999998</v>
      </c>
      <c r="K47" s="6">
        <f t="shared" si="1"/>
        <v>0.39248</v>
      </c>
      <c r="L47" s="6">
        <f t="shared" si="1"/>
        <v>0.36588999999999999</v>
      </c>
      <c r="M47" s="6">
        <f t="shared" si="1"/>
        <v>0.35103699999999999</v>
      </c>
      <c r="N47" s="6">
        <f t="shared" si="1"/>
        <v>0.36405799999999999</v>
      </c>
      <c r="O47" s="6">
        <f t="shared" si="1"/>
        <v>0.384218</v>
      </c>
      <c r="P47" s="6">
        <f t="shared" si="1"/>
        <v>0.36740099999999998</v>
      </c>
      <c r="Q47" s="6"/>
    </row>
    <row r="48" spans="1:17" x14ac:dyDescent="0.25">
      <c r="A48" s="5">
        <v>18</v>
      </c>
      <c r="B48" s="4">
        <v>0.33019100000000001</v>
      </c>
      <c r="F48" s="6">
        <v>20</v>
      </c>
      <c r="G48" s="6">
        <f t="shared" si="1"/>
        <v>0.32499299999999998</v>
      </c>
      <c r="H48" s="6">
        <f t="shared" si="1"/>
        <v>0.32707599999999998</v>
      </c>
      <c r="I48" s="6">
        <f t="shared" si="1"/>
        <v>0.36997999999999998</v>
      </c>
      <c r="J48" s="6">
        <f t="shared" si="1"/>
        <v>0.35427500000000001</v>
      </c>
      <c r="K48" s="6">
        <f t="shared" si="1"/>
        <v>0.389405</v>
      </c>
      <c r="L48" s="6">
        <f t="shared" si="1"/>
        <v>0.36262</v>
      </c>
      <c r="M48" s="6">
        <f t="shared" si="1"/>
        <v>0.34799099999999999</v>
      </c>
      <c r="N48" s="6">
        <f t="shared" si="1"/>
        <v>0.36098799999999998</v>
      </c>
      <c r="O48" s="6">
        <f t="shared" si="1"/>
        <v>0.38242399999999999</v>
      </c>
      <c r="P48" s="6">
        <f t="shared" si="1"/>
        <v>0.364589</v>
      </c>
      <c r="Q48" s="6"/>
    </row>
    <row r="49" spans="1:17" x14ac:dyDescent="0.25">
      <c r="A49" s="5">
        <v>19</v>
      </c>
      <c r="B49" s="4">
        <v>0.328513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5">
        <v>20</v>
      </c>
      <c r="B50" s="4">
        <v>0.32707599999999998</v>
      </c>
    </row>
    <row r="51" spans="1:17" x14ac:dyDescent="0.25">
      <c r="A51" s="2" t="s">
        <v>66</v>
      </c>
      <c r="B51" s="4">
        <v>0.46860515789473689</v>
      </c>
    </row>
    <row r="52" spans="1:17" x14ac:dyDescent="0.25">
      <c r="A52" s="5">
        <v>2</v>
      </c>
      <c r="B52" s="4">
        <v>0.78257399999999999</v>
      </c>
    </row>
    <row r="53" spans="1:17" x14ac:dyDescent="0.25">
      <c r="A53" s="5">
        <v>3</v>
      </c>
      <c r="B53" s="4">
        <v>0.65959599999999996</v>
      </c>
    </row>
    <row r="54" spans="1:17" x14ac:dyDescent="0.25">
      <c r="A54" s="5">
        <v>4</v>
      </c>
      <c r="B54" s="4">
        <v>0.57850100000000004</v>
      </c>
    </row>
    <row r="55" spans="1:17" x14ac:dyDescent="0.25">
      <c r="A55" s="5">
        <v>5</v>
      </c>
      <c r="B55" s="4">
        <v>0.53082099999999999</v>
      </c>
    </row>
    <row r="56" spans="1:17" x14ac:dyDescent="0.25">
      <c r="A56" s="5">
        <v>6</v>
      </c>
      <c r="B56" s="4">
        <v>0.49870999999999999</v>
      </c>
    </row>
    <row r="57" spans="1:17" x14ac:dyDescent="0.25">
      <c r="A57" s="5">
        <v>7</v>
      </c>
      <c r="B57" s="4">
        <v>0.47870200000000002</v>
      </c>
    </row>
    <row r="58" spans="1:17" x14ac:dyDescent="0.25">
      <c r="A58" s="5">
        <v>8</v>
      </c>
      <c r="B58" s="4">
        <v>0.46051900000000001</v>
      </c>
    </row>
    <row r="59" spans="1:17" x14ac:dyDescent="0.25">
      <c r="A59" s="5">
        <v>9</v>
      </c>
      <c r="B59" s="4">
        <v>0.44621899999999998</v>
      </c>
    </row>
    <row r="60" spans="1:17" x14ac:dyDescent="0.25">
      <c r="A60" s="5">
        <v>10</v>
      </c>
      <c r="B60" s="4">
        <v>0.43156299999999997</v>
      </c>
    </row>
    <row r="61" spans="1:17" x14ac:dyDescent="0.25">
      <c r="A61" s="5">
        <v>11</v>
      </c>
      <c r="B61" s="4">
        <v>0.42316199999999998</v>
      </c>
    </row>
    <row r="62" spans="1:17" x14ac:dyDescent="0.25">
      <c r="A62" s="5">
        <v>12</v>
      </c>
      <c r="B62" s="4">
        <v>0.41803899999999999</v>
      </c>
    </row>
    <row r="63" spans="1:17" x14ac:dyDescent="0.25">
      <c r="A63" s="5">
        <v>13</v>
      </c>
      <c r="B63" s="4">
        <v>0.41304099999999999</v>
      </c>
    </row>
    <row r="64" spans="1:17" x14ac:dyDescent="0.25">
      <c r="A64" s="5">
        <v>14</v>
      </c>
      <c r="B64" s="4">
        <v>0.40842000000000001</v>
      </c>
    </row>
    <row r="65" spans="1:2" x14ac:dyDescent="0.25">
      <c r="A65" s="5">
        <v>15</v>
      </c>
      <c r="B65" s="4">
        <v>0.40229199999999998</v>
      </c>
    </row>
    <row r="66" spans="1:2" x14ac:dyDescent="0.25">
      <c r="A66" s="5">
        <v>16</v>
      </c>
      <c r="B66" s="4">
        <v>0.40059499999999998</v>
      </c>
    </row>
    <row r="67" spans="1:2" x14ac:dyDescent="0.25">
      <c r="A67" s="5">
        <v>17</v>
      </c>
      <c r="B67" s="4">
        <v>0.395868</v>
      </c>
    </row>
    <row r="68" spans="1:2" x14ac:dyDescent="0.25">
      <c r="A68" s="5">
        <v>18</v>
      </c>
      <c r="B68" s="4">
        <v>0.39299099999999998</v>
      </c>
    </row>
    <row r="69" spans="1:2" x14ac:dyDescent="0.25">
      <c r="A69" s="5">
        <v>19</v>
      </c>
      <c r="B69" s="4">
        <v>0.39248</v>
      </c>
    </row>
    <row r="70" spans="1:2" x14ac:dyDescent="0.25">
      <c r="A70" s="5">
        <v>20</v>
      </c>
      <c r="B70" s="4">
        <v>0.389405</v>
      </c>
    </row>
    <row r="71" spans="1:2" x14ac:dyDescent="0.25">
      <c r="A71" s="2" t="s">
        <v>54</v>
      </c>
      <c r="B71" s="4">
        <v>0.45800447368421054</v>
      </c>
    </row>
    <row r="72" spans="1:2" x14ac:dyDescent="0.25">
      <c r="A72" s="5">
        <v>2</v>
      </c>
      <c r="B72" s="4">
        <v>0.78575600000000001</v>
      </c>
    </row>
    <row r="73" spans="1:2" x14ac:dyDescent="0.25">
      <c r="A73" s="5">
        <v>3</v>
      </c>
      <c r="B73" s="4">
        <v>0.65158499999999997</v>
      </c>
    </row>
    <row r="74" spans="1:2" x14ac:dyDescent="0.25">
      <c r="A74" s="5">
        <v>4</v>
      </c>
      <c r="B74" s="4">
        <v>0.58987500000000004</v>
      </c>
    </row>
    <row r="75" spans="1:2" x14ac:dyDescent="0.25">
      <c r="A75" s="5">
        <v>5</v>
      </c>
      <c r="B75" s="4">
        <v>0.53981000000000001</v>
      </c>
    </row>
    <row r="76" spans="1:2" x14ac:dyDescent="0.25">
      <c r="A76" s="5">
        <v>6</v>
      </c>
      <c r="B76" s="4">
        <v>0.50188999999999995</v>
      </c>
    </row>
    <row r="77" spans="1:2" x14ac:dyDescent="0.25">
      <c r="A77" s="5">
        <v>7</v>
      </c>
      <c r="B77" s="4">
        <v>0.47297800000000001</v>
      </c>
    </row>
    <row r="78" spans="1:2" x14ac:dyDescent="0.25">
      <c r="A78" s="5">
        <v>8</v>
      </c>
      <c r="B78" s="4">
        <v>0.448075</v>
      </c>
    </row>
    <row r="79" spans="1:2" x14ac:dyDescent="0.25">
      <c r="A79" s="5">
        <v>9</v>
      </c>
      <c r="B79" s="4">
        <v>0.43101699999999998</v>
      </c>
    </row>
    <row r="80" spans="1:2" x14ac:dyDescent="0.25">
      <c r="A80" s="5">
        <v>10</v>
      </c>
      <c r="B80" s="4">
        <v>0.41861700000000002</v>
      </c>
    </row>
    <row r="81" spans="1:2" x14ac:dyDescent="0.25">
      <c r="A81" s="5">
        <v>11</v>
      </c>
      <c r="B81" s="4">
        <v>0.41110000000000002</v>
      </c>
    </row>
    <row r="82" spans="1:2" x14ac:dyDescent="0.25">
      <c r="A82" s="5">
        <v>12</v>
      </c>
      <c r="B82" s="4">
        <v>0.401698</v>
      </c>
    </row>
    <row r="83" spans="1:2" x14ac:dyDescent="0.25">
      <c r="A83" s="5">
        <v>13</v>
      </c>
      <c r="B83" s="4">
        <v>0.39598100000000003</v>
      </c>
    </row>
    <row r="84" spans="1:2" x14ac:dyDescent="0.25">
      <c r="A84" s="5">
        <v>14</v>
      </c>
      <c r="B84" s="4">
        <v>0.39097300000000001</v>
      </c>
    </row>
    <row r="85" spans="1:2" x14ac:dyDescent="0.25">
      <c r="A85" s="5">
        <v>15</v>
      </c>
      <c r="B85" s="4">
        <v>0.38626199999999999</v>
      </c>
    </row>
    <row r="86" spans="1:2" x14ac:dyDescent="0.25">
      <c r="A86" s="5">
        <v>16</v>
      </c>
      <c r="B86" s="4">
        <v>0.38214500000000001</v>
      </c>
    </row>
    <row r="87" spans="1:2" x14ac:dyDescent="0.25">
      <c r="A87" s="5">
        <v>17</v>
      </c>
      <c r="B87" s="4">
        <v>0.37781100000000001</v>
      </c>
    </row>
    <row r="88" spans="1:2" x14ac:dyDescent="0.25">
      <c r="A88" s="5">
        <v>18</v>
      </c>
      <c r="B88" s="4">
        <v>0.37438300000000002</v>
      </c>
    </row>
    <row r="89" spans="1:2" x14ac:dyDescent="0.25">
      <c r="A89" s="5">
        <v>19</v>
      </c>
      <c r="B89" s="4">
        <v>0.37214900000000001</v>
      </c>
    </row>
    <row r="90" spans="1:2" x14ac:dyDescent="0.25">
      <c r="A90" s="5">
        <v>20</v>
      </c>
      <c r="B90" s="4">
        <v>0.36997999999999998</v>
      </c>
    </row>
    <row r="91" spans="1:2" x14ac:dyDescent="0.25">
      <c r="A91" s="2" t="s">
        <v>58</v>
      </c>
      <c r="B91" s="4">
        <v>0.41096026315789475</v>
      </c>
    </row>
    <row r="92" spans="1:2" x14ac:dyDescent="0.25">
      <c r="A92" s="5">
        <v>2</v>
      </c>
      <c r="B92" s="4">
        <v>0.76893</v>
      </c>
    </row>
    <row r="93" spans="1:2" x14ac:dyDescent="0.25">
      <c r="A93" s="5">
        <v>3</v>
      </c>
      <c r="B93" s="4">
        <v>0.58089000000000002</v>
      </c>
    </row>
    <row r="94" spans="1:2" x14ac:dyDescent="0.25">
      <c r="A94" s="5">
        <v>4</v>
      </c>
      <c r="B94" s="4">
        <v>0.52893699999999999</v>
      </c>
    </row>
    <row r="95" spans="1:2" x14ac:dyDescent="0.25">
      <c r="A95" s="5">
        <v>5</v>
      </c>
      <c r="B95" s="4">
        <v>0.48880699999999999</v>
      </c>
    </row>
    <row r="96" spans="1:2" x14ac:dyDescent="0.25">
      <c r="A96" s="5">
        <v>6</v>
      </c>
      <c r="B96" s="4">
        <v>0.45470899999999997</v>
      </c>
    </row>
    <row r="97" spans="1:2" x14ac:dyDescent="0.25">
      <c r="A97" s="5">
        <v>7</v>
      </c>
      <c r="B97" s="4">
        <v>0.42961100000000002</v>
      </c>
    </row>
    <row r="98" spans="1:2" x14ac:dyDescent="0.25">
      <c r="A98" s="5">
        <v>8</v>
      </c>
      <c r="B98" s="4">
        <v>0.40723300000000001</v>
      </c>
    </row>
    <row r="99" spans="1:2" x14ac:dyDescent="0.25">
      <c r="A99" s="5">
        <v>9</v>
      </c>
      <c r="B99" s="4">
        <v>0.38869199999999998</v>
      </c>
    </row>
    <row r="100" spans="1:2" x14ac:dyDescent="0.25">
      <c r="A100" s="5">
        <v>10</v>
      </c>
      <c r="B100" s="4">
        <v>0.37031900000000001</v>
      </c>
    </row>
    <row r="101" spans="1:2" x14ac:dyDescent="0.25">
      <c r="A101" s="5">
        <v>11</v>
      </c>
      <c r="B101" s="4">
        <v>0.360568</v>
      </c>
    </row>
    <row r="102" spans="1:2" x14ac:dyDescent="0.25">
      <c r="A102" s="5">
        <v>12</v>
      </c>
      <c r="B102" s="4">
        <v>0.35336899999999999</v>
      </c>
    </row>
    <row r="103" spans="1:2" x14ac:dyDescent="0.25">
      <c r="A103" s="5">
        <v>13</v>
      </c>
      <c r="B103" s="4">
        <v>0.347306</v>
      </c>
    </row>
    <row r="104" spans="1:2" x14ac:dyDescent="0.25">
      <c r="A104" s="5">
        <v>14</v>
      </c>
      <c r="B104" s="4">
        <v>0.34250000000000003</v>
      </c>
    </row>
    <row r="105" spans="1:2" x14ac:dyDescent="0.25">
      <c r="A105" s="5">
        <v>15</v>
      </c>
      <c r="B105" s="4">
        <v>0.33870899999999998</v>
      </c>
    </row>
    <row r="106" spans="1:2" x14ac:dyDescent="0.25">
      <c r="A106" s="5">
        <v>16</v>
      </c>
      <c r="B106" s="4">
        <v>0.33571400000000001</v>
      </c>
    </row>
    <row r="107" spans="1:2" x14ac:dyDescent="0.25">
      <c r="A107" s="5">
        <v>17</v>
      </c>
      <c r="B107" s="4">
        <v>0.33129599999999998</v>
      </c>
    </row>
    <row r="108" spans="1:2" x14ac:dyDescent="0.25">
      <c r="A108" s="5">
        <v>18</v>
      </c>
      <c r="B108" s="4">
        <v>0.32863500000000001</v>
      </c>
    </row>
    <row r="109" spans="1:2" x14ac:dyDescent="0.25">
      <c r="A109" s="5">
        <v>19</v>
      </c>
      <c r="B109" s="4">
        <v>0.32702700000000001</v>
      </c>
    </row>
    <row r="110" spans="1:2" x14ac:dyDescent="0.25">
      <c r="A110" s="5">
        <v>20</v>
      </c>
      <c r="B110" s="4">
        <v>0.32499299999999998</v>
      </c>
    </row>
    <row r="111" spans="1:2" x14ac:dyDescent="0.25">
      <c r="A111" s="2" t="s">
        <v>59</v>
      </c>
      <c r="B111" s="4">
        <v>0.43402442105263156</v>
      </c>
    </row>
    <row r="112" spans="1:2" x14ac:dyDescent="0.25">
      <c r="A112" s="5">
        <v>2</v>
      </c>
      <c r="B112" s="4">
        <v>0.73970000000000002</v>
      </c>
    </row>
    <row r="113" spans="1:2" x14ac:dyDescent="0.25">
      <c r="A113" s="5">
        <v>3</v>
      </c>
      <c r="B113" s="4">
        <v>0.62065000000000003</v>
      </c>
    </row>
    <row r="114" spans="1:2" x14ac:dyDescent="0.25">
      <c r="A114" s="5">
        <v>4</v>
      </c>
      <c r="B114" s="4">
        <v>0.53709300000000004</v>
      </c>
    </row>
    <row r="115" spans="1:2" x14ac:dyDescent="0.25">
      <c r="A115" s="5">
        <v>5</v>
      </c>
      <c r="B115" s="4">
        <v>0.49893900000000002</v>
      </c>
    </row>
    <row r="116" spans="1:2" x14ac:dyDescent="0.25">
      <c r="A116" s="5">
        <v>6</v>
      </c>
      <c r="B116" s="4">
        <v>0.46834799999999999</v>
      </c>
    </row>
    <row r="117" spans="1:2" x14ac:dyDescent="0.25">
      <c r="A117" s="5">
        <v>7</v>
      </c>
      <c r="B117" s="4">
        <v>0.44864399999999999</v>
      </c>
    </row>
    <row r="118" spans="1:2" x14ac:dyDescent="0.25">
      <c r="A118" s="5">
        <v>8</v>
      </c>
      <c r="B118" s="4">
        <v>0.43073099999999998</v>
      </c>
    </row>
    <row r="119" spans="1:2" x14ac:dyDescent="0.25">
      <c r="A119" s="5">
        <v>9</v>
      </c>
      <c r="B119" s="4">
        <v>0.41649599999999998</v>
      </c>
    </row>
    <row r="120" spans="1:2" x14ac:dyDescent="0.25">
      <c r="A120" s="5">
        <v>10</v>
      </c>
      <c r="B120" s="4">
        <v>0.404032</v>
      </c>
    </row>
    <row r="121" spans="1:2" x14ac:dyDescent="0.25">
      <c r="A121" s="5">
        <v>11</v>
      </c>
      <c r="B121" s="4">
        <v>0.39418300000000001</v>
      </c>
    </row>
    <row r="122" spans="1:2" x14ac:dyDescent="0.25">
      <c r="A122" s="5">
        <v>12</v>
      </c>
      <c r="B122" s="4">
        <v>0.38212400000000002</v>
      </c>
    </row>
    <row r="123" spans="1:2" x14ac:dyDescent="0.25">
      <c r="A123" s="5">
        <v>13</v>
      </c>
      <c r="B123" s="4">
        <v>0.37715100000000001</v>
      </c>
    </row>
    <row r="124" spans="1:2" x14ac:dyDescent="0.25">
      <c r="A124" s="5">
        <v>14</v>
      </c>
      <c r="B124" s="4">
        <v>0.37067899999999998</v>
      </c>
    </row>
    <row r="125" spans="1:2" x14ac:dyDescent="0.25">
      <c r="A125" s="5">
        <v>15</v>
      </c>
      <c r="B125" s="4">
        <v>0.36634899999999998</v>
      </c>
    </row>
    <row r="126" spans="1:2" x14ac:dyDescent="0.25">
      <c r="A126" s="5">
        <v>16</v>
      </c>
      <c r="B126" s="4">
        <v>0.36274499999999998</v>
      </c>
    </row>
    <row r="127" spans="1:2" x14ac:dyDescent="0.25">
      <c r="A127" s="5">
        <v>17</v>
      </c>
      <c r="B127" s="4">
        <v>0.36036600000000002</v>
      </c>
    </row>
    <row r="128" spans="1:2" x14ac:dyDescent="0.25">
      <c r="A128" s="5">
        <v>18</v>
      </c>
      <c r="B128" s="4">
        <v>0.35798799999999997</v>
      </c>
    </row>
    <row r="129" spans="1:2" x14ac:dyDescent="0.25">
      <c r="A129" s="5">
        <v>19</v>
      </c>
      <c r="B129" s="4">
        <v>0.35597099999999998</v>
      </c>
    </row>
    <row r="130" spans="1:2" x14ac:dyDescent="0.25">
      <c r="A130" s="5">
        <v>20</v>
      </c>
      <c r="B130" s="4">
        <v>0.35427500000000001</v>
      </c>
    </row>
    <row r="131" spans="1:2" x14ac:dyDescent="0.25">
      <c r="A131" s="2" t="s">
        <v>71</v>
      </c>
      <c r="B131" s="4"/>
    </row>
    <row r="132" spans="1:2" x14ac:dyDescent="0.25">
      <c r="A132" s="5" t="s">
        <v>71</v>
      </c>
      <c r="B132" s="4"/>
    </row>
    <row r="133" spans="1:2" x14ac:dyDescent="0.25">
      <c r="A133" s="2" t="s">
        <v>67</v>
      </c>
      <c r="B133" s="4">
        <v>0.4504716842105263</v>
      </c>
    </row>
    <row r="134" spans="1:2" x14ac:dyDescent="0.25">
      <c r="A134" s="5">
        <v>2</v>
      </c>
      <c r="B134" s="4">
        <v>0.76593199999999995</v>
      </c>
    </row>
    <row r="135" spans="1:2" x14ac:dyDescent="0.25">
      <c r="A135" s="5">
        <v>3</v>
      </c>
      <c r="B135" s="4">
        <v>0.64524199999999998</v>
      </c>
    </row>
    <row r="136" spans="1:2" x14ac:dyDescent="0.25">
      <c r="A136" s="5">
        <v>4</v>
      </c>
      <c r="B136" s="4">
        <v>0.55542400000000003</v>
      </c>
    </row>
    <row r="137" spans="1:2" x14ac:dyDescent="0.25">
      <c r="A137" s="5">
        <v>5</v>
      </c>
      <c r="B137" s="4">
        <v>0.52084600000000003</v>
      </c>
    </row>
    <row r="138" spans="1:2" x14ac:dyDescent="0.25">
      <c r="A138" s="5">
        <v>6</v>
      </c>
      <c r="B138" s="4">
        <v>0.48984899999999998</v>
      </c>
    </row>
    <row r="139" spans="1:2" x14ac:dyDescent="0.25">
      <c r="A139" s="5">
        <v>7</v>
      </c>
      <c r="B139" s="4">
        <v>0.47149799999999997</v>
      </c>
    </row>
    <row r="140" spans="1:2" x14ac:dyDescent="0.25">
      <c r="A140" s="5">
        <v>8</v>
      </c>
      <c r="B140" s="4">
        <v>0.45227800000000001</v>
      </c>
    </row>
    <row r="141" spans="1:2" x14ac:dyDescent="0.25">
      <c r="A141" s="5">
        <v>9</v>
      </c>
      <c r="B141" s="4">
        <v>0.43480000000000002</v>
      </c>
    </row>
    <row r="142" spans="1:2" x14ac:dyDescent="0.25">
      <c r="A142" s="5">
        <v>10</v>
      </c>
      <c r="B142" s="4">
        <v>0.41879</v>
      </c>
    </row>
    <row r="143" spans="1:2" x14ac:dyDescent="0.25">
      <c r="A143" s="5">
        <v>11</v>
      </c>
      <c r="B143" s="4">
        <v>0.40665899999999999</v>
      </c>
    </row>
    <row r="144" spans="1:2" x14ac:dyDescent="0.25">
      <c r="A144" s="5">
        <v>12</v>
      </c>
      <c r="B144" s="4">
        <v>0.39915200000000001</v>
      </c>
    </row>
    <row r="145" spans="1:2" x14ac:dyDescent="0.25">
      <c r="A145" s="5">
        <v>13</v>
      </c>
      <c r="B145" s="4">
        <v>0.39183600000000002</v>
      </c>
    </row>
    <row r="146" spans="1:2" x14ac:dyDescent="0.25">
      <c r="A146" s="5">
        <v>14</v>
      </c>
      <c r="B146" s="4">
        <v>0.38465899999999997</v>
      </c>
    </row>
    <row r="147" spans="1:2" x14ac:dyDescent="0.25">
      <c r="A147" s="5">
        <v>15</v>
      </c>
      <c r="B147" s="4">
        <v>0.37817400000000001</v>
      </c>
    </row>
    <row r="148" spans="1:2" x14ac:dyDescent="0.25">
      <c r="A148" s="5">
        <v>16</v>
      </c>
      <c r="B148" s="4">
        <v>0.37628200000000001</v>
      </c>
    </row>
    <row r="149" spans="1:2" x14ac:dyDescent="0.25">
      <c r="A149" s="5">
        <v>17</v>
      </c>
      <c r="B149" s="4">
        <v>0.37142900000000001</v>
      </c>
    </row>
    <row r="150" spans="1:2" x14ac:dyDescent="0.25">
      <c r="A150" s="5">
        <v>18</v>
      </c>
      <c r="B150" s="4">
        <v>0.36760199999999998</v>
      </c>
    </row>
    <row r="151" spans="1:2" x14ac:dyDescent="0.25">
      <c r="A151" s="5">
        <v>19</v>
      </c>
      <c r="B151" s="4">
        <v>0.36588999999999999</v>
      </c>
    </row>
    <row r="152" spans="1:2" x14ac:dyDescent="0.25">
      <c r="A152" s="5">
        <v>20</v>
      </c>
      <c r="B152" s="4">
        <v>0.36262</v>
      </c>
    </row>
    <row r="153" spans="1:2" x14ac:dyDescent="0.25">
      <c r="A153" s="2" t="s">
        <v>68</v>
      </c>
      <c r="B153" s="4">
        <v>0.4555079473684211</v>
      </c>
    </row>
    <row r="154" spans="1:2" x14ac:dyDescent="0.25">
      <c r="A154" s="5">
        <v>2</v>
      </c>
      <c r="B154" s="4">
        <v>0.79215999999999998</v>
      </c>
    </row>
    <row r="155" spans="1:2" x14ac:dyDescent="0.25">
      <c r="A155" s="5">
        <v>3</v>
      </c>
      <c r="B155" s="4">
        <v>0.65189799999999998</v>
      </c>
    </row>
    <row r="156" spans="1:2" x14ac:dyDescent="0.25">
      <c r="A156" s="5">
        <v>4</v>
      </c>
      <c r="B156" s="4">
        <v>0.58448999999999995</v>
      </c>
    </row>
    <row r="157" spans="1:2" x14ac:dyDescent="0.25">
      <c r="A157" s="5">
        <v>5</v>
      </c>
      <c r="B157" s="4">
        <v>0.54236799999999996</v>
      </c>
    </row>
    <row r="158" spans="1:2" x14ac:dyDescent="0.25">
      <c r="A158" s="5">
        <v>6</v>
      </c>
      <c r="B158" s="4">
        <v>0.50732500000000003</v>
      </c>
    </row>
    <row r="159" spans="1:2" x14ac:dyDescent="0.25">
      <c r="A159" s="5">
        <v>7</v>
      </c>
      <c r="B159" s="4">
        <v>0.47982900000000001</v>
      </c>
    </row>
    <row r="160" spans="1:2" x14ac:dyDescent="0.25">
      <c r="A160" s="5">
        <v>8</v>
      </c>
      <c r="B160" s="4">
        <v>0.45261600000000002</v>
      </c>
    </row>
    <row r="161" spans="1:2" x14ac:dyDescent="0.25">
      <c r="A161" s="5">
        <v>9</v>
      </c>
      <c r="B161" s="4">
        <v>0.43545200000000001</v>
      </c>
    </row>
    <row r="162" spans="1:2" x14ac:dyDescent="0.25">
      <c r="A162" s="5">
        <v>10</v>
      </c>
      <c r="B162" s="4">
        <v>0.41883399999999998</v>
      </c>
    </row>
    <row r="163" spans="1:2" x14ac:dyDescent="0.25">
      <c r="A163" s="5">
        <v>11</v>
      </c>
      <c r="B163" s="4">
        <v>0.40477099999999999</v>
      </c>
    </row>
    <row r="164" spans="1:2" x14ac:dyDescent="0.25">
      <c r="A164" s="5">
        <v>12</v>
      </c>
      <c r="B164" s="4">
        <v>0.39666099999999999</v>
      </c>
    </row>
    <row r="165" spans="1:2" x14ac:dyDescent="0.25">
      <c r="A165" s="5">
        <v>13</v>
      </c>
      <c r="B165" s="4">
        <v>0.38941999999999999</v>
      </c>
    </row>
    <row r="166" spans="1:2" x14ac:dyDescent="0.25">
      <c r="A166" s="5">
        <v>14</v>
      </c>
      <c r="B166" s="4">
        <v>0.38384099999999999</v>
      </c>
    </row>
    <row r="167" spans="1:2" x14ac:dyDescent="0.25">
      <c r="A167" s="5">
        <v>15</v>
      </c>
      <c r="B167" s="4">
        <v>0.37755899999999998</v>
      </c>
    </row>
    <row r="168" spans="1:2" x14ac:dyDescent="0.25">
      <c r="A168" s="5">
        <v>16</v>
      </c>
      <c r="B168" s="4">
        <v>0.37486599999999998</v>
      </c>
    </row>
    <row r="169" spans="1:2" x14ac:dyDescent="0.25">
      <c r="A169" s="5">
        <v>17</v>
      </c>
      <c r="B169" s="4">
        <v>0.37057899999999999</v>
      </c>
    </row>
    <row r="170" spans="1:2" x14ac:dyDescent="0.25">
      <c r="A170" s="5">
        <v>18</v>
      </c>
      <c r="B170" s="4">
        <v>0.36693599999999998</v>
      </c>
    </row>
    <row r="171" spans="1:2" x14ac:dyDescent="0.25">
      <c r="A171" s="5">
        <v>19</v>
      </c>
      <c r="B171" s="4">
        <v>0.36405799999999999</v>
      </c>
    </row>
    <row r="172" spans="1:2" x14ac:dyDescent="0.25">
      <c r="A172" s="5">
        <v>20</v>
      </c>
      <c r="B172" s="4">
        <v>0.36098799999999998</v>
      </c>
    </row>
    <row r="173" spans="1:2" x14ac:dyDescent="0.25">
      <c r="A173" s="2" t="s">
        <v>69</v>
      </c>
      <c r="B173" s="4">
        <v>0.44836494736842114</v>
      </c>
    </row>
    <row r="174" spans="1:2" x14ac:dyDescent="0.25">
      <c r="A174" s="5">
        <v>2</v>
      </c>
      <c r="B174" s="4">
        <v>0.78949800000000003</v>
      </c>
    </row>
    <row r="175" spans="1:2" x14ac:dyDescent="0.25">
      <c r="A175" s="5">
        <v>3</v>
      </c>
      <c r="B175" s="4">
        <v>0.638409</v>
      </c>
    </row>
    <row r="176" spans="1:2" x14ac:dyDescent="0.25">
      <c r="A176" s="5">
        <v>4</v>
      </c>
      <c r="B176" s="4">
        <v>0.58730199999999999</v>
      </c>
    </row>
    <row r="177" spans="1:2" x14ac:dyDescent="0.25">
      <c r="A177" s="5">
        <v>5</v>
      </c>
      <c r="B177" s="4">
        <v>0.54333299999999995</v>
      </c>
    </row>
    <row r="178" spans="1:2" x14ac:dyDescent="0.25">
      <c r="A178" s="5">
        <v>6</v>
      </c>
      <c r="B178" s="4">
        <v>0.49675399999999997</v>
      </c>
    </row>
    <row r="179" spans="1:2" x14ac:dyDescent="0.25">
      <c r="A179" s="5">
        <v>7</v>
      </c>
      <c r="B179" s="4">
        <v>0.47932799999999998</v>
      </c>
    </row>
    <row r="180" spans="1:2" x14ac:dyDescent="0.25">
      <c r="A180" s="5">
        <v>8</v>
      </c>
      <c r="B180" s="4">
        <v>0.45796999999999999</v>
      </c>
    </row>
    <row r="181" spans="1:2" x14ac:dyDescent="0.25">
      <c r="A181" s="5">
        <v>9</v>
      </c>
      <c r="B181" s="4">
        <v>0.43692599999999998</v>
      </c>
    </row>
    <row r="182" spans="1:2" x14ac:dyDescent="0.25">
      <c r="A182" s="5">
        <v>10</v>
      </c>
      <c r="B182" s="4">
        <v>0.417049</v>
      </c>
    </row>
    <row r="183" spans="1:2" x14ac:dyDescent="0.25">
      <c r="A183" s="5">
        <v>11</v>
      </c>
      <c r="B183" s="4">
        <v>0.40031800000000001</v>
      </c>
    </row>
    <row r="184" spans="1:2" x14ac:dyDescent="0.25">
      <c r="A184" s="5">
        <v>12</v>
      </c>
      <c r="B184" s="4">
        <v>0.38692799999999999</v>
      </c>
    </row>
    <row r="185" spans="1:2" x14ac:dyDescent="0.25">
      <c r="A185" s="5">
        <v>13</v>
      </c>
      <c r="B185" s="4">
        <v>0.37999100000000002</v>
      </c>
    </row>
    <row r="186" spans="1:2" x14ac:dyDescent="0.25">
      <c r="A186" s="5">
        <v>14</v>
      </c>
      <c r="B186" s="4">
        <v>0.37187199999999998</v>
      </c>
    </row>
    <row r="187" spans="1:2" x14ac:dyDescent="0.25">
      <c r="A187" s="5">
        <v>15</v>
      </c>
      <c r="B187" s="4">
        <v>0.36399500000000001</v>
      </c>
    </row>
    <row r="188" spans="1:2" x14ac:dyDescent="0.25">
      <c r="A188" s="5">
        <v>16</v>
      </c>
      <c r="B188" s="4">
        <v>0.362458</v>
      </c>
    </row>
    <row r="189" spans="1:2" x14ac:dyDescent="0.25">
      <c r="A189" s="5">
        <v>17</v>
      </c>
      <c r="B189" s="4">
        <v>0.35575200000000001</v>
      </c>
    </row>
    <row r="190" spans="1:2" x14ac:dyDescent="0.25">
      <c r="A190" s="5">
        <v>18</v>
      </c>
      <c r="B190" s="4">
        <v>0.35202299999999997</v>
      </c>
    </row>
    <row r="191" spans="1:2" x14ac:dyDescent="0.25">
      <c r="A191" s="5">
        <v>19</v>
      </c>
      <c r="B191" s="4">
        <v>0.35103699999999999</v>
      </c>
    </row>
    <row r="192" spans="1:2" x14ac:dyDescent="0.25">
      <c r="A192" s="5">
        <v>20</v>
      </c>
      <c r="B192" s="4">
        <v>0.34799099999999999</v>
      </c>
    </row>
    <row r="193" spans="1:2" x14ac:dyDescent="0.25">
      <c r="A193" s="2" t="s">
        <v>53</v>
      </c>
      <c r="B193" s="4">
        <v>0.46521084210526314</v>
      </c>
    </row>
    <row r="194" spans="1:2" x14ac:dyDescent="0.25">
      <c r="A194" s="5">
        <v>2</v>
      </c>
      <c r="B194" s="4">
        <v>0.80766400000000005</v>
      </c>
    </row>
    <row r="195" spans="1:2" x14ac:dyDescent="0.25">
      <c r="A195" s="5">
        <v>3</v>
      </c>
      <c r="B195" s="4">
        <v>0.66008100000000003</v>
      </c>
    </row>
    <row r="196" spans="1:2" x14ac:dyDescent="0.25">
      <c r="A196" s="5">
        <v>4</v>
      </c>
      <c r="B196" s="4">
        <v>0.60474300000000003</v>
      </c>
    </row>
    <row r="197" spans="1:2" x14ac:dyDescent="0.25">
      <c r="A197" s="5">
        <v>5</v>
      </c>
      <c r="B197" s="4">
        <v>0.55447800000000003</v>
      </c>
    </row>
    <row r="198" spans="1:2" x14ac:dyDescent="0.25">
      <c r="A198" s="5">
        <v>6</v>
      </c>
      <c r="B198" s="4">
        <v>0.52154199999999995</v>
      </c>
    </row>
    <row r="199" spans="1:2" x14ac:dyDescent="0.25">
      <c r="A199" s="5">
        <v>7</v>
      </c>
      <c r="B199" s="4">
        <v>0.49723400000000001</v>
      </c>
    </row>
    <row r="200" spans="1:2" x14ac:dyDescent="0.25">
      <c r="A200" s="5">
        <v>8</v>
      </c>
      <c r="B200" s="4">
        <v>0.47531699999999999</v>
      </c>
    </row>
    <row r="201" spans="1:2" x14ac:dyDescent="0.25">
      <c r="A201" s="5">
        <v>9</v>
      </c>
      <c r="B201" s="4">
        <v>0.45522499999999999</v>
      </c>
    </row>
    <row r="202" spans="1:2" x14ac:dyDescent="0.25">
      <c r="A202" s="5">
        <v>10</v>
      </c>
      <c r="B202" s="4">
        <v>0.43048399999999998</v>
      </c>
    </row>
    <row r="203" spans="1:2" x14ac:dyDescent="0.25">
      <c r="A203" s="5">
        <v>11</v>
      </c>
      <c r="B203" s="4">
        <v>0.41189100000000001</v>
      </c>
    </row>
    <row r="204" spans="1:2" x14ac:dyDescent="0.25">
      <c r="A204" s="5">
        <v>12</v>
      </c>
      <c r="B204" s="4">
        <v>0.40243400000000001</v>
      </c>
    </row>
    <row r="205" spans="1:2" x14ac:dyDescent="0.25">
      <c r="A205" s="5">
        <v>13</v>
      </c>
      <c r="B205" s="4">
        <v>0.39280199999999998</v>
      </c>
    </row>
    <row r="206" spans="1:2" x14ac:dyDescent="0.25">
      <c r="A206" s="5">
        <v>14</v>
      </c>
      <c r="B206" s="4">
        <v>0.38885900000000001</v>
      </c>
    </row>
    <row r="207" spans="1:2" x14ac:dyDescent="0.25">
      <c r="A207" s="5">
        <v>15</v>
      </c>
      <c r="B207" s="4">
        <v>0.38229000000000002</v>
      </c>
    </row>
    <row r="208" spans="1:2" x14ac:dyDescent="0.25">
      <c r="A208" s="5">
        <v>16</v>
      </c>
      <c r="B208" s="4">
        <v>0.37834699999999999</v>
      </c>
    </row>
    <row r="209" spans="1:2" x14ac:dyDescent="0.25">
      <c r="A209" s="5">
        <v>17</v>
      </c>
      <c r="B209" s="4">
        <v>0.37362899999999999</v>
      </c>
    </row>
    <row r="210" spans="1:2" x14ac:dyDescent="0.25">
      <c r="A210" s="5">
        <v>18</v>
      </c>
      <c r="B210" s="4">
        <v>0.36999599999999999</v>
      </c>
    </row>
    <row r="211" spans="1:2" x14ac:dyDescent="0.25">
      <c r="A211" s="5">
        <v>19</v>
      </c>
      <c r="B211" s="4">
        <v>0.36740099999999998</v>
      </c>
    </row>
    <row r="212" spans="1:2" x14ac:dyDescent="0.25">
      <c r="A212" s="5">
        <v>20</v>
      </c>
      <c r="B212" s="4">
        <v>0.364589</v>
      </c>
    </row>
    <row r="213" spans="1:2" x14ac:dyDescent="0.25">
      <c r="A213" s="2" t="s">
        <v>70</v>
      </c>
      <c r="B213" s="4">
        <v>0.46845673684210543</v>
      </c>
    </row>
    <row r="214" spans="1:2" x14ac:dyDescent="0.25">
      <c r="A214" s="5">
        <v>2</v>
      </c>
      <c r="B214" s="4">
        <v>0.78691900000000004</v>
      </c>
    </row>
    <row r="215" spans="1:2" x14ac:dyDescent="0.25">
      <c r="A215" s="5">
        <v>3</v>
      </c>
      <c r="B215" s="4">
        <v>0.66509799999999997</v>
      </c>
    </row>
    <row r="216" spans="1:2" x14ac:dyDescent="0.25">
      <c r="A216" s="5">
        <v>4</v>
      </c>
      <c r="B216" s="4">
        <v>0.58226100000000003</v>
      </c>
    </row>
    <row r="217" spans="1:2" x14ac:dyDescent="0.25">
      <c r="A217" s="5">
        <v>5</v>
      </c>
      <c r="B217" s="4">
        <v>0.53450200000000003</v>
      </c>
    </row>
    <row r="218" spans="1:2" x14ac:dyDescent="0.25">
      <c r="A218" s="5">
        <v>6</v>
      </c>
      <c r="B218" s="4">
        <v>0.50404899999999997</v>
      </c>
    </row>
    <row r="219" spans="1:2" x14ac:dyDescent="0.25">
      <c r="A219" s="5">
        <v>7</v>
      </c>
      <c r="B219" s="4">
        <v>0.48325299999999999</v>
      </c>
    </row>
    <row r="220" spans="1:2" x14ac:dyDescent="0.25">
      <c r="A220" s="5">
        <v>8</v>
      </c>
      <c r="B220" s="4">
        <v>0.46492800000000001</v>
      </c>
    </row>
    <row r="221" spans="1:2" x14ac:dyDescent="0.25">
      <c r="A221" s="5">
        <v>9</v>
      </c>
      <c r="B221" s="4">
        <v>0.45096700000000001</v>
      </c>
    </row>
    <row r="222" spans="1:2" x14ac:dyDescent="0.25">
      <c r="A222" s="5">
        <v>10</v>
      </c>
      <c r="B222" s="4">
        <v>0.43796299999999999</v>
      </c>
    </row>
    <row r="223" spans="1:2" x14ac:dyDescent="0.25">
      <c r="A223" s="5">
        <v>11</v>
      </c>
      <c r="B223" s="4">
        <v>0.42591699999999999</v>
      </c>
    </row>
    <row r="224" spans="1:2" x14ac:dyDescent="0.25">
      <c r="A224" s="5">
        <v>12</v>
      </c>
      <c r="B224" s="4">
        <v>0.41769699999999998</v>
      </c>
    </row>
    <row r="225" spans="1:2" x14ac:dyDescent="0.25">
      <c r="A225" s="5">
        <v>13</v>
      </c>
      <c r="B225" s="4">
        <v>0.41078999999999999</v>
      </c>
    </row>
    <row r="226" spans="1:2" x14ac:dyDescent="0.25">
      <c r="A226" s="5">
        <v>14</v>
      </c>
      <c r="B226" s="4">
        <v>0.40414600000000001</v>
      </c>
    </row>
    <row r="227" spans="1:2" x14ac:dyDescent="0.25">
      <c r="A227" s="5">
        <v>15</v>
      </c>
      <c r="B227" s="4">
        <v>0.39693899999999999</v>
      </c>
    </row>
    <row r="228" spans="1:2" x14ac:dyDescent="0.25">
      <c r="A228" s="5">
        <v>16</v>
      </c>
      <c r="B228" s="4">
        <v>0.39359899999999998</v>
      </c>
    </row>
    <row r="229" spans="1:2" x14ac:dyDescent="0.25">
      <c r="A229" s="5">
        <v>17</v>
      </c>
      <c r="B229" s="4">
        <v>0.38913300000000001</v>
      </c>
    </row>
    <row r="230" spans="1:2" x14ac:dyDescent="0.25">
      <c r="A230" s="5">
        <v>18</v>
      </c>
      <c r="B230" s="4">
        <v>0.38587500000000002</v>
      </c>
    </row>
    <row r="231" spans="1:2" x14ac:dyDescent="0.25">
      <c r="A231" s="5">
        <v>19</v>
      </c>
      <c r="B231" s="4">
        <v>0.384218</v>
      </c>
    </row>
    <row r="232" spans="1:2" x14ac:dyDescent="0.25">
      <c r="A232" s="5">
        <v>20</v>
      </c>
      <c r="B232" s="4">
        <v>0.38242399999999999</v>
      </c>
    </row>
    <row r="233" spans="1:2" x14ac:dyDescent="0.25">
      <c r="A233" s="2" t="s">
        <v>57</v>
      </c>
      <c r="B233" s="4">
        <v>0.44587200526315807</v>
      </c>
    </row>
  </sheetData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B453-D6E3-46BC-8EE3-B9CF1BC0B180}">
  <dimension ref="A3:Y46"/>
  <sheetViews>
    <sheetView workbookViewId="0">
      <selection activeCell="H29" sqref="H29"/>
    </sheetView>
  </sheetViews>
  <sheetFormatPr defaultRowHeight="15" x14ac:dyDescent="0.25"/>
  <cols>
    <col min="1" max="1" width="13.5703125" bestFit="1" customWidth="1"/>
  </cols>
  <sheetData>
    <row r="3" spans="1:25" x14ac:dyDescent="0.25">
      <c r="A3" t="s">
        <v>14</v>
      </c>
    </row>
    <row r="5" spans="1:25" x14ac:dyDescent="0.25">
      <c r="A5" t="s">
        <v>49</v>
      </c>
      <c r="B5">
        <v>0.38869199999999998</v>
      </c>
    </row>
    <row r="6" spans="1:25" x14ac:dyDescent="0.25">
      <c r="A6" t="s">
        <v>8</v>
      </c>
      <c r="B6">
        <v>47</v>
      </c>
      <c r="C6" t="s">
        <v>9</v>
      </c>
    </row>
    <row r="7" spans="1:25" x14ac:dyDescent="0.25">
      <c r="A7" t="s">
        <v>8</v>
      </c>
      <c r="B7">
        <v>80</v>
      </c>
      <c r="C7" t="s">
        <v>9</v>
      </c>
      <c r="G7" s="1"/>
    </row>
    <row r="8" spans="1:25" x14ac:dyDescent="0.25">
      <c r="A8" t="s">
        <v>8</v>
      </c>
      <c r="B8">
        <v>103</v>
      </c>
      <c r="C8" t="s">
        <v>9</v>
      </c>
      <c r="G8" s="1"/>
      <c r="S8" s="1"/>
    </row>
    <row r="9" spans="1:25" x14ac:dyDescent="0.25">
      <c r="A9" t="s">
        <v>8</v>
      </c>
      <c r="B9">
        <v>111</v>
      </c>
      <c r="C9" t="s">
        <v>9</v>
      </c>
      <c r="S9" s="1"/>
    </row>
    <row r="10" spans="1:25" x14ac:dyDescent="0.25">
      <c r="A10" t="s">
        <v>8</v>
      </c>
      <c r="B10">
        <v>112</v>
      </c>
      <c r="C10" t="s">
        <v>9</v>
      </c>
    </row>
    <row r="11" spans="1:25" x14ac:dyDescent="0.25">
      <c r="A11" t="s">
        <v>8</v>
      </c>
      <c r="B11">
        <v>120</v>
      </c>
      <c r="C11" t="s">
        <v>9</v>
      </c>
    </row>
    <row r="12" spans="1:25" x14ac:dyDescent="0.25">
      <c r="A12" t="s">
        <v>8</v>
      </c>
      <c r="B12">
        <v>128</v>
      </c>
      <c r="C12" t="s">
        <v>9</v>
      </c>
    </row>
    <row r="13" spans="1:25" x14ac:dyDescent="0.25">
      <c r="A13" t="s">
        <v>8</v>
      </c>
      <c r="B13">
        <v>138</v>
      </c>
      <c r="C13" t="s">
        <v>9</v>
      </c>
      <c r="Y13" s="1"/>
    </row>
    <row r="14" spans="1:25" x14ac:dyDescent="0.25">
      <c r="A14" t="s">
        <v>8</v>
      </c>
      <c r="B14">
        <v>139</v>
      </c>
      <c r="C14" t="s">
        <v>9</v>
      </c>
      <c r="Y14" s="1"/>
    </row>
    <row r="18" spans="1:19" x14ac:dyDescent="0.25">
      <c r="A18" t="s">
        <v>15</v>
      </c>
      <c r="C18" s="1"/>
    </row>
    <row r="19" spans="1:19" x14ac:dyDescent="0.25">
      <c r="C19" s="1"/>
    </row>
    <row r="20" spans="1:19" x14ac:dyDescent="0.25">
      <c r="A20" t="s">
        <v>49</v>
      </c>
      <c r="B20">
        <v>0.38687199999999999</v>
      </c>
    </row>
    <row r="21" spans="1:19" x14ac:dyDescent="0.25">
      <c r="A21" t="s">
        <v>8</v>
      </c>
      <c r="B21">
        <v>47</v>
      </c>
      <c r="C21" t="s">
        <v>9</v>
      </c>
    </row>
    <row r="22" spans="1:19" x14ac:dyDescent="0.25">
      <c r="A22" t="s">
        <v>8</v>
      </c>
      <c r="B22">
        <v>80</v>
      </c>
      <c r="C22" t="s">
        <v>9</v>
      </c>
    </row>
    <row r="23" spans="1:19" x14ac:dyDescent="0.25">
      <c r="A23" t="s">
        <v>8</v>
      </c>
      <c r="B23">
        <v>110</v>
      </c>
      <c r="C23" t="s">
        <v>9</v>
      </c>
    </row>
    <row r="24" spans="1:19" x14ac:dyDescent="0.25">
      <c r="A24" t="s">
        <v>8</v>
      </c>
      <c r="B24">
        <v>111</v>
      </c>
      <c r="C24" t="s">
        <v>9</v>
      </c>
    </row>
    <row r="25" spans="1:19" x14ac:dyDescent="0.25">
      <c r="A25" t="s">
        <v>8</v>
      </c>
      <c r="B25">
        <v>112</v>
      </c>
      <c r="C25" t="s">
        <v>9</v>
      </c>
    </row>
    <row r="26" spans="1:19" x14ac:dyDescent="0.25">
      <c r="A26" t="s">
        <v>8</v>
      </c>
      <c r="B26">
        <v>120</v>
      </c>
      <c r="C26" t="s">
        <v>9</v>
      </c>
    </row>
    <row r="27" spans="1:19" x14ac:dyDescent="0.25">
      <c r="A27" t="s">
        <v>8</v>
      </c>
      <c r="B27">
        <v>128</v>
      </c>
      <c r="C27" t="s">
        <v>9</v>
      </c>
    </row>
    <row r="28" spans="1:19" x14ac:dyDescent="0.25">
      <c r="A28" t="s">
        <v>8</v>
      </c>
      <c r="B28">
        <v>134</v>
      </c>
      <c r="C28" t="s">
        <v>9</v>
      </c>
      <c r="S28" s="1"/>
    </row>
    <row r="29" spans="1:19" x14ac:dyDescent="0.25">
      <c r="A29" t="s">
        <v>8</v>
      </c>
      <c r="B29">
        <v>138</v>
      </c>
      <c r="C29" t="s">
        <v>9</v>
      </c>
      <c r="S29" s="1"/>
    </row>
    <row r="33" spans="1:25" x14ac:dyDescent="0.25">
      <c r="Y33" s="1"/>
    </row>
    <row r="34" spans="1:25" x14ac:dyDescent="0.25">
      <c r="A34" t="s">
        <v>40</v>
      </c>
      <c r="C34" s="1"/>
      <c r="Y34" s="1"/>
    </row>
    <row r="35" spans="1:25" x14ac:dyDescent="0.25">
      <c r="C35" s="1"/>
    </row>
    <row r="36" spans="1:25" x14ac:dyDescent="0.25">
      <c r="A36" t="s">
        <v>49</v>
      </c>
      <c r="B36">
        <v>0.37395600000000001</v>
      </c>
    </row>
    <row r="37" spans="1:25" x14ac:dyDescent="0.25">
      <c r="A37" t="s">
        <v>8</v>
      </c>
      <c r="B37">
        <v>47</v>
      </c>
      <c r="C37" t="s">
        <v>9</v>
      </c>
    </row>
    <row r="38" spans="1:25" x14ac:dyDescent="0.25">
      <c r="A38" t="s">
        <v>8</v>
      </c>
      <c r="B38">
        <v>80</v>
      </c>
      <c r="C38" t="s">
        <v>9</v>
      </c>
    </row>
    <row r="39" spans="1:25" x14ac:dyDescent="0.25">
      <c r="A39" t="s">
        <v>8</v>
      </c>
      <c r="B39">
        <v>103</v>
      </c>
      <c r="C39" t="s">
        <v>9</v>
      </c>
    </row>
    <row r="40" spans="1:25" x14ac:dyDescent="0.25">
      <c r="A40" t="s">
        <v>8</v>
      </c>
      <c r="B40">
        <v>110</v>
      </c>
      <c r="C40" t="s">
        <v>9</v>
      </c>
    </row>
    <row r="41" spans="1:25" x14ac:dyDescent="0.25">
      <c r="A41" t="s">
        <v>8</v>
      </c>
      <c r="B41">
        <v>111</v>
      </c>
      <c r="C41" t="s">
        <v>9</v>
      </c>
    </row>
    <row r="42" spans="1:25" x14ac:dyDescent="0.25">
      <c r="A42" t="s">
        <v>8</v>
      </c>
      <c r="B42">
        <v>112</v>
      </c>
      <c r="C42" t="s">
        <v>9</v>
      </c>
    </row>
    <row r="43" spans="1:25" x14ac:dyDescent="0.25">
      <c r="A43" t="s">
        <v>8</v>
      </c>
      <c r="B43">
        <v>127</v>
      </c>
      <c r="C43" t="s">
        <v>9</v>
      </c>
    </row>
    <row r="44" spans="1:25" x14ac:dyDescent="0.25">
      <c r="A44" t="s">
        <v>8</v>
      </c>
      <c r="B44">
        <v>128</v>
      </c>
      <c r="C44" t="s">
        <v>9</v>
      </c>
    </row>
    <row r="45" spans="1:25" x14ac:dyDescent="0.25">
      <c r="A45" t="s">
        <v>8</v>
      </c>
      <c r="B45">
        <v>138</v>
      </c>
      <c r="C45" t="s">
        <v>9</v>
      </c>
    </row>
    <row r="46" spans="1:25" x14ac:dyDescent="0.25">
      <c r="A46" t="s">
        <v>8</v>
      </c>
      <c r="B46">
        <v>139</v>
      </c>
      <c r="C4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E04D-BD6D-44C8-9A02-65B7DE2BB797}">
  <dimension ref="A3:AD64"/>
  <sheetViews>
    <sheetView topLeftCell="A21" workbookViewId="0">
      <selection activeCell="H29" sqref="H29"/>
    </sheetView>
  </sheetViews>
  <sheetFormatPr defaultRowHeight="15" x14ac:dyDescent="0.25"/>
  <cols>
    <col min="1" max="1" width="13.5703125" bestFit="1" customWidth="1"/>
  </cols>
  <sheetData>
    <row r="3" spans="1:3" x14ac:dyDescent="0.25">
      <c r="A3" t="s">
        <v>14</v>
      </c>
    </row>
    <row r="5" spans="1:3" x14ac:dyDescent="0.25">
      <c r="A5" t="s">
        <v>49</v>
      </c>
      <c r="B5">
        <v>0.387683</v>
      </c>
    </row>
    <row r="6" spans="1:3" x14ac:dyDescent="0.25">
      <c r="A6" t="s">
        <v>8</v>
      </c>
      <c r="B6">
        <v>80</v>
      </c>
      <c r="C6" t="s">
        <v>9</v>
      </c>
    </row>
    <row r="7" spans="1:3" x14ac:dyDescent="0.25">
      <c r="A7" t="s">
        <v>8</v>
      </c>
      <c r="B7">
        <v>110</v>
      </c>
      <c r="C7" t="s">
        <v>9</v>
      </c>
    </row>
    <row r="8" spans="1:3" x14ac:dyDescent="0.25">
      <c r="A8" t="s">
        <v>8</v>
      </c>
      <c r="B8">
        <v>111</v>
      </c>
      <c r="C8" t="s">
        <v>9</v>
      </c>
    </row>
    <row r="9" spans="1:3" x14ac:dyDescent="0.25">
      <c r="A9" t="s">
        <v>8</v>
      </c>
      <c r="B9">
        <v>112</v>
      </c>
      <c r="C9" t="s">
        <v>9</v>
      </c>
    </row>
    <row r="10" spans="1:3" x14ac:dyDescent="0.25">
      <c r="A10" t="s">
        <v>8</v>
      </c>
      <c r="B10">
        <v>125</v>
      </c>
      <c r="C10" t="s">
        <v>9</v>
      </c>
    </row>
    <row r="11" spans="1:3" x14ac:dyDescent="0.25">
      <c r="A11" t="s">
        <v>8</v>
      </c>
      <c r="B11">
        <v>128</v>
      </c>
      <c r="C11" t="s">
        <v>9</v>
      </c>
    </row>
    <row r="12" spans="1:3" x14ac:dyDescent="0.25">
      <c r="A12" t="s">
        <v>8</v>
      </c>
      <c r="B12">
        <v>138</v>
      </c>
      <c r="C12" t="s">
        <v>9</v>
      </c>
    </row>
    <row r="13" spans="1:3" x14ac:dyDescent="0.25">
      <c r="A13" t="s">
        <v>8</v>
      </c>
      <c r="B13">
        <v>139</v>
      </c>
      <c r="C13" t="s">
        <v>9</v>
      </c>
    </row>
    <row r="17" spans="1:3" x14ac:dyDescent="0.25">
      <c r="A17" t="s">
        <v>15</v>
      </c>
      <c r="C17" s="1"/>
    </row>
    <row r="18" spans="1:3" x14ac:dyDescent="0.25">
      <c r="C18" s="1"/>
    </row>
    <row r="19" spans="1:3" x14ac:dyDescent="0.25">
      <c r="A19" t="s">
        <v>49</v>
      </c>
      <c r="B19">
        <v>0.387683</v>
      </c>
    </row>
    <row r="20" spans="1:3" x14ac:dyDescent="0.25">
      <c r="A20" t="s">
        <v>8</v>
      </c>
      <c r="B20">
        <v>80</v>
      </c>
      <c r="C20" t="s">
        <v>9</v>
      </c>
    </row>
    <row r="21" spans="1:3" x14ac:dyDescent="0.25">
      <c r="A21" t="s">
        <v>8</v>
      </c>
      <c r="B21">
        <v>110</v>
      </c>
      <c r="C21" t="s">
        <v>9</v>
      </c>
    </row>
    <row r="22" spans="1:3" x14ac:dyDescent="0.25">
      <c r="A22" t="s">
        <v>8</v>
      </c>
      <c r="B22">
        <v>111</v>
      </c>
      <c r="C22" t="s">
        <v>9</v>
      </c>
    </row>
    <row r="23" spans="1:3" x14ac:dyDescent="0.25">
      <c r="A23" t="s">
        <v>8</v>
      </c>
      <c r="B23">
        <v>112</v>
      </c>
      <c r="C23" t="s">
        <v>9</v>
      </c>
    </row>
    <row r="24" spans="1:3" x14ac:dyDescent="0.25">
      <c r="A24" t="s">
        <v>8</v>
      </c>
      <c r="B24">
        <v>125</v>
      </c>
      <c r="C24" t="s">
        <v>9</v>
      </c>
    </row>
    <row r="25" spans="1:3" x14ac:dyDescent="0.25">
      <c r="A25" t="s">
        <v>8</v>
      </c>
      <c r="B25">
        <v>128</v>
      </c>
      <c r="C25" t="s">
        <v>9</v>
      </c>
    </row>
    <row r="26" spans="1:3" x14ac:dyDescent="0.25">
      <c r="A26" t="s">
        <v>8</v>
      </c>
      <c r="B26">
        <v>138</v>
      </c>
      <c r="C26" t="s">
        <v>9</v>
      </c>
    </row>
    <row r="27" spans="1:3" x14ac:dyDescent="0.25">
      <c r="A27" t="s">
        <v>8</v>
      </c>
      <c r="B27">
        <v>139</v>
      </c>
      <c r="C27" t="s">
        <v>9</v>
      </c>
    </row>
    <row r="32" spans="1:3" x14ac:dyDescent="0.25">
      <c r="A32" t="s">
        <v>40</v>
      </c>
      <c r="C32" s="1"/>
    </row>
    <row r="33" spans="1:3" x14ac:dyDescent="0.25">
      <c r="C33" s="1"/>
    </row>
    <row r="34" spans="1:3" x14ac:dyDescent="0.25">
      <c r="A34" t="s">
        <v>49</v>
      </c>
      <c r="B34">
        <v>0.36766700000000002</v>
      </c>
    </row>
    <row r="35" spans="1:3" x14ac:dyDescent="0.25">
      <c r="A35" t="s">
        <v>8</v>
      </c>
      <c r="B35">
        <v>71</v>
      </c>
      <c r="C35" t="s">
        <v>9</v>
      </c>
    </row>
    <row r="36" spans="1:3" x14ac:dyDescent="0.25">
      <c r="A36" t="s">
        <v>8</v>
      </c>
      <c r="B36">
        <v>80</v>
      </c>
      <c r="C36" t="s">
        <v>9</v>
      </c>
    </row>
    <row r="37" spans="1:3" x14ac:dyDescent="0.25">
      <c r="A37" t="s">
        <v>8</v>
      </c>
      <c r="B37">
        <v>103</v>
      </c>
      <c r="C37" t="s">
        <v>9</v>
      </c>
    </row>
    <row r="38" spans="1:3" x14ac:dyDescent="0.25">
      <c r="A38" t="s">
        <v>8</v>
      </c>
      <c r="B38">
        <v>110</v>
      </c>
      <c r="C38" t="s">
        <v>9</v>
      </c>
    </row>
    <row r="39" spans="1:3" x14ac:dyDescent="0.25">
      <c r="A39" t="s">
        <v>8</v>
      </c>
      <c r="B39">
        <v>111</v>
      </c>
      <c r="C39" t="s">
        <v>9</v>
      </c>
    </row>
    <row r="40" spans="1:3" x14ac:dyDescent="0.25">
      <c r="A40" t="s">
        <v>8</v>
      </c>
      <c r="B40">
        <v>112</v>
      </c>
      <c r="C40" t="s">
        <v>9</v>
      </c>
    </row>
    <row r="41" spans="1:3" x14ac:dyDescent="0.25">
      <c r="A41" t="s">
        <v>8</v>
      </c>
      <c r="B41">
        <v>127</v>
      </c>
      <c r="C41" t="s">
        <v>9</v>
      </c>
    </row>
    <row r="42" spans="1:3" x14ac:dyDescent="0.25">
      <c r="A42" t="s">
        <v>8</v>
      </c>
      <c r="B42">
        <v>128</v>
      </c>
      <c r="C42" t="s">
        <v>9</v>
      </c>
    </row>
    <row r="43" spans="1:3" x14ac:dyDescent="0.25">
      <c r="A43" t="s">
        <v>8</v>
      </c>
      <c r="B43">
        <v>138</v>
      </c>
      <c r="C43" t="s">
        <v>9</v>
      </c>
    </row>
    <row r="44" spans="1:3" x14ac:dyDescent="0.25">
      <c r="A44" t="s">
        <v>8</v>
      </c>
      <c r="B44">
        <v>139</v>
      </c>
      <c r="C44" t="s">
        <v>9</v>
      </c>
    </row>
    <row r="63" spans="30:30" x14ac:dyDescent="0.25">
      <c r="AD63" s="1"/>
    </row>
    <row r="64" spans="30:30" x14ac:dyDescent="0.25">
      <c r="AD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FDE-8C12-4DD6-9836-B7DC19EA80E8}">
  <dimension ref="A3:P74"/>
  <sheetViews>
    <sheetView workbookViewId="0">
      <selection activeCell="H29" sqref="H29"/>
    </sheetView>
  </sheetViews>
  <sheetFormatPr defaultRowHeight="15" x14ac:dyDescent="0.25"/>
  <cols>
    <col min="1" max="1" width="13.5703125" bestFit="1" customWidth="1"/>
  </cols>
  <sheetData>
    <row r="3" spans="1:16" x14ac:dyDescent="0.25">
      <c r="A3" t="s">
        <v>0</v>
      </c>
      <c r="B3">
        <v>4</v>
      </c>
    </row>
    <row r="6" spans="1:16" x14ac:dyDescent="0.25">
      <c r="A6" t="s">
        <v>49</v>
      </c>
      <c r="B6">
        <v>0.39598100000000003</v>
      </c>
    </row>
    <row r="7" spans="1:16" x14ac:dyDescent="0.25">
      <c r="A7" t="s">
        <v>8</v>
      </c>
      <c r="B7">
        <v>31</v>
      </c>
      <c r="C7" t="s">
        <v>9</v>
      </c>
      <c r="P7" s="1"/>
    </row>
    <row r="8" spans="1:16" x14ac:dyDescent="0.25">
      <c r="A8" t="s">
        <v>8</v>
      </c>
      <c r="B8">
        <v>47</v>
      </c>
      <c r="C8" t="s">
        <v>9</v>
      </c>
      <c r="P8" s="1"/>
    </row>
    <row r="9" spans="1:16" x14ac:dyDescent="0.25">
      <c r="A9" t="s">
        <v>8</v>
      </c>
      <c r="B9">
        <v>52</v>
      </c>
      <c r="C9" t="s">
        <v>9</v>
      </c>
    </row>
    <row r="10" spans="1:16" x14ac:dyDescent="0.25">
      <c r="A10" t="s">
        <v>8</v>
      </c>
      <c r="B10">
        <v>80</v>
      </c>
      <c r="C10" t="s">
        <v>9</v>
      </c>
    </row>
    <row r="11" spans="1:16" x14ac:dyDescent="0.25">
      <c r="A11" t="s">
        <v>8</v>
      </c>
      <c r="B11">
        <v>87</v>
      </c>
      <c r="C11" t="s">
        <v>9</v>
      </c>
    </row>
    <row r="12" spans="1:16" x14ac:dyDescent="0.25">
      <c r="A12" t="s">
        <v>8</v>
      </c>
      <c r="B12">
        <v>103</v>
      </c>
      <c r="C12" t="s">
        <v>9</v>
      </c>
    </row>
    <row r="13" spans="1:16" x14ac:dyDescent="0.25">
      <c r="A13" t="s">
        <v>8</v>
      </c>
      <c r="B13">
        <v>110</v>
      </c>
      <c r="C13" t="s">
        <v>9</v>
      </c>
    </row>
    <row r="14" spans="1:16" x14ac:dyDescent="0.25">
      <c r="A14" t="s">
        <v>8</v>
      </c>
      <c r="B14">
        <v>111</v>
      </c>
      <c r="C14" t="s">
        <v>9</v>
      </c>
    </row>
    <row r="15" spans="1:16" x14ac:dyDescent="0.25">
      <c r="A15" t="s">
        <v>8</v>
      </c>
      <c r="B15">
        <v>112</v>
      </c>
      <c r="C15" t="s">
        <v>9</v>
      </c>
    </row>
    <row r="16" spans="1:16" x14ac:dyDescent="0.25">
      <c r="A16" t="s">
        <v>8</v>
      </c>
      <c r="B16">
        <v>120</v>
      </c>
      <c r="C16" t="s">
        <v>9</v>
      </c>
    </row>
    <row r="17" spans="1:9" x14ac:dyDescent="0.25">
      <c r="A17" t="s">
        <v>8</v>
      </c>
      <c r="B17">
        <v>128</v>
      </c>
      <c r="C17" t="s">
        <v>9</v>
      </c>
    </row>
    <row r="18" spans="1:9" x14ac:dyDescent="0.25">
      <c r="A18" t="s">
        <v>8</v>
      </c>
      <c r="B18">
        <v>136</v>
      </c>
      <c r="C18" t="s">
        <v>9</v>
      </c>
    </row>
    <row r="19" spans="1:9" x14ac:dyDescent="0.25">
      <c r="A19" t="s">
        <v>8</v>
      </c>
      <c r="B19">
        <v>138</v>
      </c>
      <c r="C19" t="s">
        <v>9</v>
      </c>
    </row>
    <row r="23" spans="1:9" x14ac:dyDescent="0.25">
      <c r="A23" t="s">
        <v>15</v>
      </c>
      <c r="C23" s="1"/>
    </row>
    <row r="24" spans="1:9" x14ac:dyDescent="0.25">
      <c r="C24" s="1"/>
    </row>
    <row r="25" spans="1:9" x14ac:dyDescent="0.25">
      <c r="A25" t="s">
        <v>49</v>
      </c>
      <c r="B25">
        <v>0.411692</v>
      </c>
    </row>
    <row r="26" spans="1:9" x14ac:dyDescent="0.25">
      <c r="A26" t="s">
        <v>8</v>
      </c>
      <c r="B26">
        <v>31</v>
      </c>
      <c r="C26" t="s">
        <v>9</v>
      </c>
    </row>
    <row r="27" spans="1:9" x14ac:dyDescent="0.25">
      <c r="A27" t="s">
        <v>8</v>
      </c>
      <c r="B27">
        <v>47</v>
      </c>
      <c r="C27" t="s">
        <v>9</v>
      </c>
    </row>
    <row r="28" spans="1:9" x14ac:dyDescent="0.25">
      <c r="A28" t="s">
        <v>8</v>
      </c>
      <c r="B28">
        <v>52</v>
      </c>
      <c r="C28" t="s">
        <v>9</v>
      </c>
      <c r="I28" s="1"/>
    </row>
    <row r="29" spans="1:9" x14ac:dyDescent="0.25">
      <c r="A29" t="s">
        <v>8</v>
      </c>
      <c r="B29">
        <v>80</v>
      </c>
      <c r="C29" t="s">
        <v>9</v>
      </c>
      <c r="I29" s="1"/>
    </row>
    <row r="30" spans="1:9" x14ac:dyDescent="0.25">
      <c r="A30" t="s">
        <v>8</v>
      </c>
      <c r="B30">
        <v>103</v>
      </c>
      <c r="C30" t="s">
        <v>9</v>
      </c>
    </row>
    <row r="31" spans="1:9" x14ac:dyDescent="0.25">
      <c r="A31" t="s">
        <v>8</v>
      </c>
      <c r="B31">
        <v>110</v>
      </c>
      <c r="C31" t="s">
        <v>9</v>
      </c>
    </row>
    <row r="32" spans="1:9" x14ac:dyDescent="0.25">
      <c r="A32" t="s">
        <v>8</v>
      </c>
      <c r="B32">
        <v>111</v>
      </c>
      <c r="C32" t="s">
        <v>9</v>
      </c>
    </row>
    <row r="33" spans="1:3" x14ac:dyDescent="0.25">
      <c r="A33" t="s">
        <v>8</v>
      </c>
      <c r="B33">
        <v>112</v>
      </c>
      <c r="C33" t="s">
        <v>9</v>
      </c>
    </row>
    <row r="34" spans="1:3" x14ac:dyDescent="0.25">
      <c r="A34" t="s">
        <v>8</v>
      </c>
      <c r="B34">
        <v>120</v>
      </c>
      <c r="C34" t="s">
        <v>9</v>
      </c>
    </row>
    <row r="35" spans="1:3" x14ac:dyDescent="0.25">
      <c r="A35" t="s">
        <v>8</v>
      </c>
      <c r="B35">
        <v>128</v>
      </c>
      <c r="C35" t="s">
        <v>9</v>
      </c>
    </row>
    <row r="36" spans="1:3" x14ac:dyDescent="0.25">
      <c r="A36" t="s">
        <v>8</v>
      </c>
      <c r="B36">
        <v>134</v>
      </c>
      <c r="C36" t="s">
        <v>9</v>
      </c>
    </row>
    <row r="37" spans="1:3" x14ac:dyDescent="0.25">
      <c r="A37" t="s">
        <v>8</v>
      </c>
      <c r="B37">
        <v>135</v>
      </c>
      <c r="C37" t="s">
        <v>9</v>
      </c>
    </row>
    <row r="41" spans="1:3" x14ac:dyDescent="0.25">
      <c r="A41" t="s">
        <v>40</v>
      </c>
      <c r="C41" s="1"/>
    </row>
    <row r="42" spans="1:3" x14ac:dyDescent="0.25">
      <c r="C42" s="1"/>
    </row>
    <row r="43" spans="1:3" x14ac:dyDescent="0.25">
      <c r="A43" t="s">
        <v>49</v>
      </c>
      <c r="B43">
        <v>0.39885900000000002</v>
      </c>
    </row>
    <row r="44" spans="1:3" x14ac:dyDescent="0.25">
      <c r="A44" t="s">
        <v>8</v>
      </c>
      <c r="B44">
        <v>47</v>
      </c>
      <c r="C44" t="s">
        <v>9</v>
      </c>
    </row>
    <row r="45" spans="1:3" x14ac:dyDescent="0.25">
      <c r="A45" t="s">
        <v>8</v>
      </c>
      <c r="B45">
        <v>52</v>
      </c>
      <c r="C45" t="s">
        <v>9</v>
      </c>
    </row>
    <row r="46" spans="1:3" x14ac:dyDescent="0.25">
      <c r="A46" t="s">
        <v>8</v>
      </c>
      <c r="B46">
        <v>80</v>
      </c>
      <c r="C46" t="s">
        <v>9</v>
      </c>
    </row>
    <row r="47" spans="1:3" x14ac:dyDescent="0.25">
      <c r="A47" t="s">
        <v>8</v>
      </c>
      <c r="B47">
        <v>87</v>
      </c>
      <c r="C47" t="s">
        <v>9</v>
      </c>
    </row>
    <row r="48" spans="1:3" x14ac:dyDescent="0.25">
      <c r="A48" t="s">
        <v>8</v>
      </c>
      <c r="B48">
        <v>103</v>
      </c>
      <c r="C48" t="s">
        <v>9</v>
      </c>
    </row>
    <row r="49" spans="1:3" x14ac:dyDescent="0.25">
      <c r="A49" t="s">
        <v>8</v>
      </c>
      <c r="B49">
        <v>110</v>
      </c>
      <c r="C49" t="s">
        <v>9</v>
      </c>
    </row>
    <row r="50" spans="1:3" x14ac:dyDescent="0.25">
      <c r="A50" t="s">
        <v>8</v>
      </c>
      <c r="B50">
        <v>111</v>
      </c>
      <c r="C50" t="s">
        <v>9</v>
      </c>
    </row>
    <row r="51" spans="1:3" x14ac:dyDescent="0.25">
      <c r="A51" t="s">
        <v>8</v>
      </c>
      <c r="B51">
        <v>112</v>
      </c>
      <c r="C51" t="s">
        <v>9</v>
      </c>
    </row>
    <row r="52" spans="1:3" x14ac:dyDescent="0.25">
      <c r="A52" t="s">
        <v>8</v>
      </c>
      <c r="B52">
        <v>120</v>
      </c>
      <c r="C52" t="s">
        <v>9</v>
      </c>
    </row>
    <row r="53" spans="1:3" x14ac:dyDescent="0.25">
      <c r="A53" t="s">
        <v>8</v>
      </c>
      <c r="B53">
        <v>122</v>
      </c>
      <c r="C53" t="s">
        <v>9</v>
      </c>
    </row>
    <row r="54" spans="1:3" x14ac:dyDescent="0.25">
      <c r="A54" t="s">
        <v>8</v>
      </c>
      <c r="B54">
        <v>128</v>
      </c>
      <c r="C54" t="s">
        <v>9</v>
      </c>
    </row>
    <row r="55" spans="1:3" x14ac:dyDescent="0.25">
      <c r="A55" t="s">
        <v>8</v>
      </c>
      <c r="B55">
        <v>136</v>
      </c>
      <c r="C55" t="s">
        <v>9</v>
      </c>
    </row>
    <row r="56" spans="1:3" x14ac:dyDescent="0.25">
      <c r="A56" t="s">
        <v>8</v>
      </c>
      <c r="B56">
        <v>138</v>
      </c>
      <c r="C56" t="s">
        <v>9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D438-000E-442E-B5BA-18AD80F5E4D0}">
  <dimension ref="A3:X65"/>
  <sheetViews>
    <sheetView workbookViewId="0">
      <selection activeCell="H29" sqref="H29"/>
    </sheetView>
  </sheetViews>
  <sheetFormatPr defaultRowHeight="15" x14ac:dyDescent="0.25"/>
  <cols>
    <col min="1" max="1" width="13.5703125" bestFit="1" customWidth="1"/>
  </cols>
  <sheetData>
    <row r="3" spans="1:24" x14ac:dyDescent="0.25">
      <c r="A3" t="s">
        <v>50</v>
      </c>
    </row>
    <row r="5" spans="1:24" x14ac:dyDescent="0.25">
      <c r="A5" t="s">
        <v>49</v>
      </c>
      <c r="B5">
        <v>0.39421200000000001</v>
      </c>
      <c r="R5" s="1"/>
    </row>
    <row r="6" spans="1:24" x14ac:dyDescent="0.25">
      <c r="A6" t="s">
        <v>8</v>
      </c>
      <c r="B6">
        <v>47</v>
      </c>
      <c r="C6" t="s">
        <v>9</v>
      </c>
      <c r="R6" s="1"/>
    </row>
    <row r="7" spans="1:24" x14ac:dyDescent="0.25">
      <c r="A7" t="s">
        <v>8</v>
      </c>
      <c r="B7">
        <v>52</v>
      </c>
      <c r="C7" t="s">
        <v>9</v>
      </c>
    </row>
    <row r="8" spans="1:24" x14ac:dyDescent="0.25">
      <c r="A8" t="s">
        <v>8</v>
      </c>
      <c r="B8">
        <v>97</v>
      </c>
      <c r="C8" t="s">
        <v>9</v>
      </c>
    </row>
    <row r="9" spans="1:24" x14ac:dyDescent="0.25">
      <c r="A9" t="s">
        <v>8</v>
      </c>
      <c r="B9">
        <v>110</v>
      </c>
      <c r="C9" t="s">
        <v>9</v>
      </c>
    </row>
    <row r="10" spans="1:24" x14ac:dyDescent="0.25">
      <c r="A10" t="s">
        <v>8</v>
      </c>
      <c r="B10">
        <v>111</v>
      </c>
      <c r="C10" t="s">
        <v>9</v>
      </c>
    </row>
    <row r="11" spans="1:24" x14ac:dyDescent="0.25">
      <c r="A11" t="s">
        <v>8</v>
      </c>
      <c r="B11">
        <v>112</v>
      </c>
      <c r="C11" t="s">
        <v>9</v>
      </c>
      <c r="X11" s="1"/>
    </row>
    <row r="12" spans="1:24" x14ac:dyDescent="0.25">
      <c r="A12" t="s">
        <v>8</v>
      </c>
      <c r="B12">
        <v>117</v>
      </c>
      <c r="C12" t="s">
        <v>9</v>
      </c>
      <c r="X12" s="1"/>
    </row>
    <row r="13" spans="1:24" x14ac:dyDescent="0.25">
      <c r="A13" t="s">
        <v>8</v>
      </c>
      <c r="B13">
        <v>120</v>
      </c>
      <c r="C13" t="s">
        <v>9</v>
      </c>
    </row>
    <row r="14" spans="1:24" x14ac:dyDescent="0.25">
      <c r="A14" t="s">
        <v>8</v>
      </c>
      <c r="B14">
        <v>128</v>
      </c>
      <c r="C14" t="s">
        <v>9</v>
      </c>
    </row>
    <row r="15" spans="1:24" x14ac:dyDescent="0.25">
      <c r="A15" t="s">
        <v>8</v>
      </c>
      <c r="B15">
        <v>134</v>
      </c>
      <c r="C15" t="s">
        <v>9</v>
      </c>
    </row>
    <row r="16" spans="1:24" x14ac:dyDescent="0.25">
      <c r="A16" t="s">
        <v>8</v>
      </c>
      <c r="B16">
        <v>138</v>
      </c>
      <c r="C16" t="s">
        <v>9</v>
      </c>
    </row>
    <row r="20" spans="1:3" x14ac:dyDescent="0.25">
      <c r="A20" t="s">
        <v>15</v>
      </c>
      <c r="C20" s="1"/>
    </row>
    <row r="21" spans="1:3" x14ac:dyDescent="0.25">
      <c r="C21" s="1"/>
    </row>
    <row r="22" spans="1:3" x14ac:dyDescent="0.25">
      <c r="A22" t="s">
        <v>49</v>
      </c>
      <c r="B22">
        <v>0.42982999999999999</v>
      </c>
    </row>
    <row r="23" spans="1:3" x14ac:dyDescent="0.25">
      <c r="A23" t="s">
        <v>8</v>
      </c>
      <c r="B23">
        <v>52</v>
      </c>
      <c r="C23" t="s">
        <v>9</v>
      </c>
    </row>
    <row r="24" spans="1:3" x14ac:dyDescent="0.25">
      <c r="A24" t="s">
        <v>8</v>
      </c>
      <c r="B24">
        <v>74</v>
      </c>
      <c r="C24" t="s">
        <v>9</v>
      </c>
    </row>
    <row r="25" spans="1:3" x14ac:dyDescent="0.25">
      <c r="A25" t="s">
        <v>8</v>
      </c>
      <c r="B25">
        <v>110</v>
      </c>
      <c r="C25" t="s">
        <v>9</v>
      </c>
    </row>
    <row r="26" spans="1:3" x14ac:dyDescent="0.25">
      <c r="A26" t="s">
        <v>8</v>
      </c>
      <c r="B26">
        <v>111</v>
      </c>
      <c r="C26" t="s">
        <v>9</v>
      </c>
    </row>
    <row r="27" spans="1:3" x14ac:dyDescent="0.25">
      <c r="A27" t="s">
        <v>8</v>
      </c>
      <c r="B27">
        <v>112</v>
      </c>
      <c r="C27" t="s">
        <v>9</v>
      </c>
    </row>
    <row r="28" spans="1:3" x14ac:dyDescent="0.25">
      <c r="A28" t="s">
        <v>8</v>
      </c>
      <c r="B28">
        <v>117</v>
      </c>
      <c r="C28" t="s">
        <v>9</v>
      </c>
    </row>
    <row r="29" spans="1:3" x14ac:dyDescent="0.25">
      <c r="A29" t="s">
        <v>8</v>
      </c>
      <c r="B29">
        <v>131</v>
      </c>
      <c r="C29" t="s">
        <v>9</v>
      </c>
    </row>
    <row r="30" spans="1:3" x14ac:dyDescent="0.25">
      <c r="A30" t="s">
        <v>8</v>
      </c>
      <c r="B30">
        <v>138</v>
      </c>
      <c r="C30" t="s">
        <v>9</v>
      </c>
    </row>
    <row r="34" spans="1:18" x14ac:dyDescent="0.25">
      <c r="A34" t="s">
        <v>40</v>
      </c>
      <c r="C34" s="1"/>
    </row>
    <row r="35" spans="1:18" x14ac:dyDescent="0.25">
      <c r="C35" s="1"/>
    </row>
    <row r="36" spans="1:18" x14ac:dyDescent="0.25">
      <c r="A36" t="s">
        <v>49</v>
      </c>
      <c r="B36">
        <v>0.39554899999999998</v>
      </c>
    </row>
    <row r="37" spans="1:18" x14ac:dyDescent="0.25">
      <c r="A37" t="s">
        <v>8</v>
      </c>
      <c r="B37">
        <v>52</v>
      </c>
      <c r="C37" t="s">
        <v>9</v>
      </c>
    </row>
    <row r="38" spans="1:18" x14ac:dyDescent="0.25">
      <c r="A38" t="s">
        <v>8</v>
      </c>
      <c r="B38">
        <v>74</v>
      </c>
      <c r="C38" t="s">
        <v>9</v>
      </c>
    </row>
    <row r="39" spans="1:18" x14ac:dyDescent="0.25">
      <c r="A39" t="s">
        <v>8</v>
      </c>
      <c r="B39">
        <v>103</v>
      </c>
      <c r="C39" t="s">
        <v>9</v>
      </c>
    </row>
    <row r="40" spans="1:18" x14ac:dyDescent="0.25">
      <c r="A40" t="s">
        <v>8</v>
      </c>
      <c r="B40">
        <v>110</v>
      </c>
      <c r="C40" t="s">
        <v>9</v>
      </c>
    </row>
    <row r="41" spans="1:18" x14ac:dyDescent="0.25">
      <c r="A41" t="s">
        <v>8</v>
      </c>
      <c r="B41">
        <v>111</v>
      </c>
      <c r="C41" t="s">
        <v>9</v>
      </c>
    </row>
    <row r="42" spans="1:18" x14ac:dyDescent="0.25">
      <c r="A42" t="s">
        <v>8</v>
      </c>
      <c r="B42">
        <v>112</v>
      </c>
      <c r="C42" t="s">
        <v>9</v>
      </c>
    </row>
    <row r="43" spans="1:18" x14ac:dyDescent="0.25">
      <c r="A43" t="s">
        <v>8</v>
      </c>
      <c r="B43">
        <v>117</v>
      </c>
      <c r="C43" t="s">
        <v>9</v>
      </c>
      <c r="R43" s="1"/>
    </row>
    <row r="44" spans="1:18" x14ac:dyDescent="0.25">
      <c r="A44" t="s">
        <v>8</v>
      </c>
      <c r="B44">
        <v>120</v>
      </c>
      <c r="C44" t="s">
        <v>9</v>
      </c>
      <c r="R44" s="1"/>
    </row>
    <row r="45" spans="1:18" x14ac:dyDescent="0.25">
      <c r="A45" t="s">
        <v>8</v>
      </c>
      <c r="B45">
        <v>128</v>
      </c>
      <c r="C45" t="s">
        <v>9</v>
      </c>
    </row>
    <row r="46" spans="1:18" x14ac:dyDescent="0.25">
      <c r="A46" t="s">
        <v>8</v>
      </c>
      <c r="B46">
        <v>134</v>
      </c>
      <c r="C46" t="s">
        <v>9</v>
      </c>
    </row>
    <row r="47" spans="1:18" x14ac:dyDescent="0.25">
      <c r="A47" t="s">
        <v>8</v>
      </c>
      <c r="B47">
        <v>138</v>
      </c>
      <c r="C47" t="s">
        <v>9</v>
      </c>
    </row>
    <row r="51" spans="3:8" x14ac:dyDescent="0.25">
      <c r="H51" s="1"/>
    </row>
    <row r="52" spans="3:8" x14ac:dyDescent="0.25">
      <c r="H52" s="1"/>
    </row>
    <row r="64" spans="3:8" x14ac:dyDescent="0.25">
      <c r="C64" s="1"/>
    </row>
    <row r="65" spans="3:3" x14ac:dyDescent="0.25">
      <c r="C6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8E4E-3A1E-4385-8AAE-F8F1ADAF9DA2}">
  <dimension ref="A4:Y130"/>
  <sheetViews>
    <sheetView topLeftCell="A38" workbookViewId="0">
      <selection activeCell="H29" sqref="H29"/>
    </sheetView>
  </sheetViews>
  <sheetFormatPr defaultRowHeight="15" x14ac:dyDescent="0.25"/>
  <sheetData>
    <row r="4" spans="1:25" x14ac:dyDescent="0.25">
      <c r="A4" t="s">
        <v>50</v>
      </c>
    </row>
    <row r="6" spans="1:25" x14ac:dyDescent="0.25">
      <c r="A6" t="s">
        <v>7</v>
      </c>
      <c r="B6">
        <v>0.395868</v>
      </c>
      <c r="S6" s="1"/>
    </row>
    <row r="7" spans="1:25" x14ac:dyDescent="0.25">
      <c r="A7" t="s">
        <v>8</v>
      </c>
      <c r="B7">
        <v>31</v>
      </c>
      <c r="C7" t="s">
        <v>9</v>
      </c>
      <c r="S7" s="1"/>
    </row>
    <row r="8" spans="1:25" x14ac:dyDescent="0.25">
      <c r="A8" t="s">
        <v>8</v>
      </c>
      <c r="B8">
        <v>47</v>
      </c>
      <c r="C8" t="s">
        <v>9</v>
      </c>
    </row>
    <row r="9" spans="1:25" x14ac:dyDescent="0.25">
      <c r="A9" t="s">
        <v>8</v>
      </c>
      <c r="B9">
        <v>52</v>
      </c>
      <c r="C9" t="s">
        <v>9</v>
      </c>
    </row>
    <row r="10" spans="1:25" x14ac:dyDescent="0.25">
      <c r="A10" t="s">
        <v>8</v>
      </c>
      <c r="B10">
        <v>81</v>
      </c>
      <c r="C10" t="s">
        <v>9</v>
      </c>
    </row>
    <row r="11" spans="1:25" x14ac:dyDescent="0.25">
      <c r="A11" t="s">
        <v>8</v>
      </c>
      <c r="B11">
        <v>87</v>
      </c>
      <c r="C11" t="s">
        <v>9</v>
      </c>
    </row>
    <row r="12" spans="1:25" x14ac:dyDescent="0.25">
      <c r="A12" t="s">
        <v>8</v>
      </c>
      <c r="B12">
        <v>92</v>
      </c>
      <c r="C12" t="s">
        <v>9</v>
      </c>
      <c r="Y12" s="1"/>
    </row>
    <row r="13" spans="1:25" x14ac:dyDescent="0.25">
      <c r="A13" t="s">
        <v>8</v>
      </c>
      <c r="B13">
        <v>95</v>
      </c>
      <c r="C13" t="s">
        <v>9</v>
      </c>
      <c r="Y13" s="1"/>
    </row>
    <row r="14" spans="1:25" x14ac:dyDescent="0.25">
      <c r="A14" t="s">
        <v>8</v>
      </c>
      <c r="B14">
        <v>97</v>
      </c>
      <c r="C14" t="s">
        <v>9</v>
      </c>
    </row>
    <row r="15" spans="1:25" x14ac:dyDescent="0.25">
      <c r="A15" t="s">
        <v>8</v>
      </c>
      <c r="B15">
        <v>103</v>
      </c>
      <c r="C15" t="s">
        <v>9</v>
      </c>
    </row>
    <row r="16" spans="1:25" x14ac:dyDescent="0.25">
      <c r="A16" t="s">
        <v>8</v>
      </c>
      <c r="B16">
        <v>110</v>
      </c>
      <c r="C16" t="s">
        <v>9</v>
      </c>
    </row>
    <row r="17" spans="1:19" x14ac:dyDescent="0.25">
      <c r="A17" t="s">
        <v>8</v>
      </c>
      <c r="B17">
        <v>111</v>
      </c>
      <c r="C17" t="s">
        <v>9</v>
      </c>
    </row>
    <row r="18" spans="1:19" x14ac:dyDescent="0.25">
      <c r="A18" t="s">
        <v>8</v>
      </c>
      <c r="B18">
        <v>112</v>
      </c>
      <c r="C18" t="s">
        <v>9</v>
      </c>
    </row>
    <row r="19" spans="1:19" x14ac:dyDescent="0.25">
      <c r="A19" t="s">
        <v>8</v>
      </c>
      <c r="B19">
        <v>120</v>
      </c>
      <c r="C19" t="s">
        <v>9</v>
      </c>
    </row>
    <row r="20" spans="1:19" x14ac:dyDescent="0.25">
      <c r="A20" t="s">
        <v>8</v>
      </c>
      <c r="B20">
        <v>122</v>
      </c>
      <c r="C20" t="s">
        <v>9</v>
      </c>
    </row>
    <row r="21" spans="1:19" x14ac:dyDescent="0.25">
      <c r="A21" t="s">
        <v>8</v>
      </c>
      <c r="B21">
        <v>128</v>
      </c>
      <c r="C21" t="s">
        <v>9</v>
      </c>
    </row>
    <row r="22" spans="1:19" x14ac:dyDescent="0.25">
      <c r="A22" t="s">
        <v>8</v>
      </c>
      <c r="B22">
        <v>136</v>
      </c>
      <c r="C22" t="s">
        <v>9</v>
      </c>
    </row>
    <row r="23" spans="1:19" x14ac:dyDescent="0.25">
      <c r="A23" t="s">
        <v>8</v>
      </c>
      <c r="B23">
        <v>138</v>
      </c>
      <c r="C23" t="s">
        <v>9</v>
      </c>
    </row>
    <row r="28" spans="1:19" x14ac:dyDescent="0.25">
      <c r="A28" t="s">
        <v>15</v>
      </c>
    </row>
    <row r="30" spans="1:19" x14ac:dyDescent="0.25">
      <c r="A30" t="s">
        <v>7</v>
      </c>
      <c r="B30">
        <v>0.40543899999999999</v>
      </c>
    </row>
    <row r="31" spans="1:19" x14ac:dyDescent="0.25">
      <c r="A31" t="s">
        <v>8</v>
      </c>
      <c r="B31">
        <v>31</v>
      </c>
      <c r="C31" t="s">
        <v>9</v>
      </c>
    </row>
    <row r="32" spans="1:19" x14ac:dyDescent="0.25">
      <c r="A32" t="s">
        <v>8</v>
      </c>
      <c r="B32">
        <v>47</v>
      </c>
      <c r="C32" t="s">
        <v>9</v>
      </c>
      <c r="S32" s="1"/>
    </row>
    <row r="33" spans="1:25" x14ac:dyDescent="0.25">
      <c r="A33" t="s">
        <v>8</v>
      </c>
      <c r="B33">
        <v>52</v>
      </c>
      <c r="C33" t="s">
        <v>9</v>
      </c>
      <c r="D33" s="1"/>
      <c r="S33" s="1"/>
    </row>
    <row r="34" spans="1:25" x14ac:dyDescent="0.25">
      <c r="A34" t="s">
        <v>8</v>
      </c>
      <c r="B34">
        <v>74</v>
      </c>
      <c r="C34" t="s">
        <v>9</v>
      </c>
      <c r="D34" s="1"/>
    </row>
    <row r="35" spans="1:25" x14ac:dyDescent="0.25">
      <c r="A35" t="s">
        <v>8</v>
      </c>
      <c r="B35">
        <v>92</v>
      </c>
      <c r="C35" t="s">
        <v>9</v>
      </c>
    </row>
    <row r="36" spans="1:25" x14ac:dyDescent="0.25">
      <c r="A36" t="s">
        <v>8</v>
      </c>
      <c r="B36">
        <v>95</v>
      </c>
      <c r="C36" t="s">
        <v>9</v>
      </c>
    </row>
    <row r="37" spans="1:25" x14ac:dyDescent="0.25">
      <c r="A37" t="s">
        <v>8</v>
      </c>
      <c r="B37">
        <v>103</v>
      </c>
      <c r="C37" t="s">
        <v>9</v>
      </c>
    </row>
    <row r="38" spans="1:25" x14ac:dyDescent="0.25">
      <c r="A38" t="s">
        <v>8</v>
      </c>
      <c r="B38">
        <v>106</v>
      </c>
      <c r="C38" t="s">
        <v>9</v>
      </c>
    </row>
    <row r="39" spans="1:25" x14ac:dyDescent="0.25">
      <c r="A39" t="s">
        <v>8</v>
      </c>
      <c r="B39">
        <v>110</v>
      </c>
      <c r="C39" t="s">
        <v>9</v>
      </c>
    </row>
    <row r="40" spans="1:25" x14ac:dyDescent="0.25">
      <c r="A40" t="s">
        <v>8</v>
      </c>
      <c r="B40">
        <v>111</v>
      </c>
      <c r="C40" t="s">
        <v>9</v>
      </c>
    </row>
    <row r="41" spans="1:25" x14ac:dyDescent="0.25">
      <c r="A41" t="s">
        <v>8</v>
      </c>
      <c r="B41">
        <v>112</v>
      </c>
      <c r="C41" t="s">
        <v>9</v>
      </c>
    </row>
    <row r="42" spans="1:25" x14ac:dyDescent="0.25">
      <c r="A42" t="s">
        <v>8</v>
      </c>
      <c r="B42">
        <v>120</v>
      </c>
      <c r="C42" t="s">
        <v>9</v>
      </c>
      <c r="Y42" s="1"/>
    </row>
    <row r="43" spans="1:25" x14ac:dyDescent="0.25">
      <c r="A43" t="s">
        <v>8</v>
      </c>
      <c r="B43">
        <v>128</v>
      </c>
      <c r="C43" t="s">
        <v>9</v>
      </c>
      <c r="Y43" s="1"/>
    </row>
    <row r="44" spans="1:25" x14ac:dyDescent="0.25">
      <c r="A44" t="s">
        <v>8</v>
      </c>
      <c r="B44">
        <v>134</v>
      </c>
      <c r="C44" t="s">
        <v>9</v>
      </c>
    </row>
    <row r="45" spans="1:25" x14ac:dyDescent="0.25">
      <c r="A45" t="s">
        <v>8</v>
      </c>
      <c r="B45">
        <v>138</v>
      </c>
      <c r="C45" t="s">
        <v>9</v>
      </c>
    </row>
    <row r="49" spans="1:3" x14ac:dyDescent="0.25">
      <c r="A49" t="s">
        <v>40</v>
      </c>
      <c r="C49" s="1"/>
    </row>
    <row r="50" spans="1:3" x14ac:dyDescent="0.25">
      <c r="C50" s="1"/>
    </row>
    <row r="51" spans="1:3" x14ac:dyDescent="0.25">
      <c r="A51" t="s">
        <v>7</v>
      </c>
      <c r="B51">
        <v>0.40294600000000003</v>
      </c>
    </row>
    <row r="52" spans="1:3" x14ac:dyDescent="0.25">
      <c r="A52" t="s">
        <v>8</v>
      </c>
      <c r="B52">
        <v>31</v>
      </c>
      <c r="C52" t="s">
        <v>9</v>
      </c>
    </row>
    <row r="53" spans="1:3" x14ac:dyDescent="0.25">
      <c r="A53" t="s">
        <v>8</v>
      </c>
      <c r="B53">
        <v>47</v>
      </c>
      <c r="C53" t="s">
        <v>9</v>
      </c>
    </row>
    <row r="54" spans="1:3" x14ac:dyDescent="0.25">
      <c r="A54" t="s">
        <v>8</v>
      </c>
      <c r="B54">
        <v>52</v>
      </c>
      <c r="C54" t="s">
        <v>9</v>
      </c>
    </row>
    <row r="55" spans="1:3" x14ac:dyDescent="0.25">
      <c r="A55" t="s">
        <v>8</v>
      </c>
      <c r="B55">
        <v>80</v>
      </c>
      <c r="C55" t="s">
        <v>9</v>
      </c>
    </row>
    <row r="56" spans="1:3" x14ac:dyDescent="0.25">
      <c r="A56" t="s">
        <v>8</v>
      </c>
      <c r="B56">
        <v>87</v>
      </c>
      <c r="C56" t="s">
        <v>9</v>
      </c>
    </row>
    <row r="57" spans="1:3" x14ac:dyDescent="0.25">
      <c r="A57" t="s">
        <v>8</v>
      </c>
      <c r="B57">
        <v>92</v>
      </c>
      <c r="C57" t="s">
        <v>9</v>
      </c>
    </row>
    <row r="58" spans="1:3" x14ac:dyDescent="0.25">
      <c r="A58" t="s">
        <v>8</v>
      </c>
      <c r="B58">
        <v>103</v>
      </c>
      <c r="C58" t="s">
        <v>9</v>
      </c>
    </row>
    <row r="59" spans="1:3" x14ac:dyDescent="0.25">
      <c r="A59" t="s">
        <v>8</v>
      </c>
      <c r="B59">
        <v>106</v>
      </c>
      <c r="C59" t="s">
        <v>9</v>
      </c>
    </row>
    <row r="60" spans="1:3" x14ac:dyDescent="0.25">
      <c r="A60" t="s">
        <v>8</v>
      </c>
      <c r="B60">
        <v>110</v>
      </c>
      <c r="C60" t="s">
        <v>9</v>
      </c>
    </row>
    <row r="61" spans="1:3" x14ac:dyDescent="0.25">
      <c r="A61" t="s">
        <v>8</v>
      </c>
      <c r="B61">
        <v>111</v>
      </c>
      <c r="C61" t="s">
        <v>9</v>
      </c>
    </row>
    <row r="62" spans="1:3" x14ac:dyDescent="0.25">
      <c r="A62" t="s">
        <v>8</v>
      </c>
      <c r="B62">
        <v>112</v>
      </c>
      <c r="C62" t="s">
        <v>9</v>
      </c>
    </row>
    <row r="63" spans="1:3" x14ac:dyDescent="0.25">
      <c r="A63" t="s">
        <v>8</v>
      </c>
      <c r="B63">
        <v>117</v>
      </c>
      <c r="C63" t="s">
        <v>9</v>
      </c>
    </row>
    <row r="64" spans="1:3" x14ac:dyDescent="0.25">
      <c r="A64" t="s">
        <v>8</v>
      </c>
      <c r="B64">
        <v>120</v>
      </c>
      <c r="C64" t="s">
        <v>9</v>
      </c>
    </row>
    <row r="65" spans="1:25" x14ac:dyDescent="0.25">
      <c r="A65" t="s">
        <v>8</v>
      </c>
      <c r="B65">
        <v>128</v>
      </c>
      <c r="C65" t="s">
        <v>9</v>
      </c>
    </row>
    <row r="66" spans="1:25" x14ac:dyDescent="0.25">
      <c r="A66" t="s">
        <v>8</v>
      </c>
      <c r="B66">
        <v>136</v>
      </c>
      <c r="C66" t="s">
        <v>9</v>
      </c>
    </row>
    <row r="67" spans="1:25" x14ac:dyDescent="0.25">
      <c r="A67" t="s">
        <v>8</v>
      </c>
      <c r="B67">
        <v>138</v>
      </c>
      <c r="C67" t="s">
        <v>9</v>
      </c>
    </row>
    <row r="72" spans="1:25" x14ac:dyDescent="0.25">
      <c r="Y72" s="1"/>
    </row>
    <row r="73" spans="1:25" x14ac:dyDescent="0.25">
      <c r="Y73" s="1"/>
    </row>
    <row r="98" spans="3:3" x14ac:dyDescent="0.25">
      <c r="C98" s="1"/>
    </row>
    <row r="99" spans="3:3" x14ac:dyDescent="0.25">
      <c r="C99" s="1"/>
    </row>
    <row r="129" spans="3:3" x14ac:dyDescent="0.25">
      <c r="C129" s="1"/>
    </row>
    <row r="130" spans="3:3" x14ac:dyDescent="0.25">
      <c r="C13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B87B-840D-4681-982A-165F7D02F15D}">
  <dimension ref="A1:X95"/>
  <sheetViews>
    <sheetView workbookViewId="0">
      <selection activeCell="G24" sqref="G24"/>
    </sheetView>
  </sheetViews>
  <sheetFormatPr defaultRowHeight="15" x14ac:dyDescent="0.25"/>
  <cols>
    <col min="1" max="1" width="13.5703125" bestFit="1" customWidth="1"/>
  </cols>
  <sheetData>
    <row r="1" spans="1:24" x14ac:dyDescent="0.25">
      <c r="H1" s="1"/>
      <c r="S1" s="1"/>
      <c r="X1" s="1"/>
    </row>
    <row r="2" spans="1:24" x14ac:dyDescent="0.25">
      <c r="H2" s="1"/>
    </row>
    <row r="3" spans="1:24" x14ac:dyDescent="0.25">
      <c r="A3" t="s">
        <v>50</v>
      </c>
      <c r="C3" s="1"/>
    </row>
    <row r="4" spans="1:24" x14ac:dyDescent="0.25">
      <c r="C4" s="1"/>
    </row>
    <row r="5" spans="1:24" x14ac:dyDescent="0.25">
      <c r="A5" t="s">
        <v>49</v>
      </c>
      <c r="B5">
        <v>0.39915200000000001</v>
      </c>
    </row>
    <row r="6" spans="1:24" x14ac:dyDescent="0.25">
      <c r="A6" t="s">
        <v>8</v>
      </c>
      <c r="B6">
        <v>47</v>
      </c>
      <c r="C6" t="s">
        <v>9</v>
      </c>
    </row>
    <row r="7" spans="1:24" x14ac:dyDescent="0.25">
      <c r="A7" t="s">
        <v>8</v>
      </c>
      <c r="B7">
        <v>52</v>
      </c>
      <c r="C7" t="s">
        <v>9</v>
      </c>
    </row>
    <row r="8" spans="1:24" x14ac:dyDescent="0.25">
      <c r="A8" t="s">
        <v>8</v>
      </c>
      <c r="B8">
        <v>80</v>
      </c>
      <c r="C8" t="s">
        <v>9</v>
      </c>
    </row>
    <row r="9" spans="1:24" x14ac:dyDescent="0.25">
      <c r="A9" t="s">
        <v>8</v>
      </c>
      <c r="B9">
        <v>83</v>
      </c>
      <c r="C9" t="s">
        <v>9</v>
      </c>
    </row>
    <row r="10" spans="1:24" x14ac:dyDescent="0.25">
      <c r="A10" t="s">
        <v>8</v>
      </c>
      <c r="B10">
        <v>103</v>
      </c>
      <c r="C10" t="s">
        <v>9</v>
      </c>
    </row>
    <row r="11" spans="1:24" x14ac:dyDescent="0.25">
      <c r="A11" t="s">
        <v>8</v>
      </c>
      <c r="B11">
        <v>110</v>
      </c>
      <c r="C11" t="s">
        <v>9</v>
      </c>
    </row>
    <row r="12" spans="1:24" x14ac:dyDescent="0.25">
      <c r="A12" t="s">
        <v>8</v>
      </c>
      <c r="B12">
        <v>111</v>
      </c>
      <c r="C12" t="s">
        <v>9</v>
      </c>
    </row>
    <row r="13" spans="1:24" x14ac:dyDescent="0.25">
      <c r="A13" t="s">
        <v>8</v>
      </c>
      <c r="B13">
        <v>112</v>
      </c>
      <c r="C13" t="s">
        <v>9</v>
      </c>
    </row>
    <row r="14" spans="1:24" x14ac:dyDescent="0.25">
      <c r="A14" t="s">
        <v>8</v>
      </c>
      <c r="B14">
        <v>120</v>
      </c>
      <c r="C14" t="s">
        <v>9</v>
      </c>
    </row>
    <row r="15" spans="1:24" x14ac:dyDescent="0.25">
      <c r="A15" t="s">
        <v>8</v>
      </c>
      <c r="B15">
        <v>128</v>
      </c>
      <c r="C15" t="s">
        <v>9</v>
      </c>
    </row>
    <row r="16" spans="1:24" x14ac:dyDescent="0.25">
      <c r="A16" t="s">
        <v>8</v>
      </c>
      <c r="B16">
        <v>136</v>
      </c>
      <c r="C16" t="s">
        <v>9</v>
      </c>
    </row>
    <row r="17" spans="1:3" x14ac:dyDescent="0.25">
      <c r="A17" t="s">
        <v>8</v>
      </c>
      <c r="B17">
        <v>138</v>
      </c>
      <c r="C17" t="s">
        <v>9</v>
      </c>
    </row>
    <row r="21" spans="1:3" x14ac:dyDescent="0.25">
      <c r="A21" t="s">
        <v>15</v>
      </c>
      <c r="C21" s="1"/>
    </row>
    <row r="22" spans="1:3" x14ac:dyDescent="0.25">
      <c r="C22" s="1"/>
    </row>
    <row r="23" spans="1:3" x14ac:dyDescent="0.25">
      <c r="A23" t="s">
        <v>49</v>
      </c>
      <c r="B23">
        <v>0.39245000000000002</v>
      </c>
    </row>
    <row r="24" spans="1:3" x14ac:dyDescent="0.25">
      <c r="A24" t="s">
        <v>8</v>
      </c>
      <c r="B24">
        <v>47</v>
      </c>
      <c r="C24" t="s">
        <v>9</v>
      </c>
    </row>
    <row r="25" spans="1:3" x14ac:dyDescent="0.25">
      <c r="A25" t="s">
        <v>8</v>
      </c>
      <c r="B25">
        <v>52</v>
      </c>
      <c r="C25" t="s">
        <v>9</v>
      </c>
    </row>
    <row r="26" spans="1:3" x14ac:dyDescent="0.25">
      <c r="A26" t="s">
        <v>8</v>
      </c>
      <c r="B26">
        <v>80</v>
      </c>
      <c r="C26" t="s">
        <v>9</v>
      </c>
    </row>
    <row r="27" spans="1:3" x14ac:dyDescent="0.25">
      <c r="A27" t="s">
        <v>8</v>
      </c>
      <c r="B27">
        <v>83</v>
      </c>
      <c r="C27" t="s">
        <v>9</v>
      </c>
    </row>
    <row r="28" spans="1:3" x14ac:dyDescent="0.25">
      <c r="A28" t="s">
        <v>8</v>
      </c>
      <c r="B28">
        <v>103</v>
      </c>
      <c r="C28" t="s">
        <v>9</v>
      </c>
    </row>
    <row r="29" spans="1:3" x14ac:dyDescent="0.25">
      <c r="A29" t="s">
        <v>8</v>
      </c>
      <c r="B29">
        <v>110</v>
      </c>
      <c r="C29" t="s">
        <v>9</v>
      </c>
    </row>
    <row r="30" spans="1:3" x14ac:dyDescent="0.25">
      <c r="A30" t="s">
        <v>8</v>
      </c>
      <c r="B30">
        <v>111</v>
      </c>
      <c r="C30" t="s">
        <v>9</v>
      </c>
    </row>
    <row r="31" spans="1:3" x14ac:dyDescent="0.25">
      <c r="A31" t="s">
        <v>8</v>
      </c>
      <c r="B31">
        <v>112</v>
      </c>
      <c r="C31" t="s">
        <v>9</v>
      </c>
    </row>
    <row r="32" spans="1:3" x14ac:dyDescent="0.25">
      <c r="A32" t="s">
        <v>8</v>
      </c>
      <c r="B32">
        <v>117</v>
      </c>
      <c r="C32" t="s">
        <v>9</v>
      </c>
    </row>
    <row r="33" spans="1:3" x14ac:dyDescent="0.25">
      <c r="A33" t="s">
        <v>8</v>
      </c>
      <c r="B33">
        <v>120</v>
      </c>
      <c r="C33" t="s">
        <v>9</v>
      </c>
    </row>
    <row r="34" spans="1:3" x14ac:dyDescent="0.25">
      <c r="A34" t="s">
        <v>8</v>
      </c>
      <c r="B34">
        <v>128</v>
      </c>
      <c r="C34" t="s">
        <v>9</v>
      </c>
    </row>
    <row r="35" spans="1:3" x14ac:dyDescent="0.25">
      <c r="A35" t="s">
        <v>8</v>
      </c>
      <c r="B35">
        <v>136</v>
      </c>
      <c r="C35" t="s">
        <v>9</v>
      </c>
    </row>
    <row r="36" spans="1:3" x14ac:dyDescent="0.25">
      <c r="A36" t="s">
        <v>8</v>
      </c>
      <c r="B36">
        <v>138</v>
      </c>
      <c r="C36" t="s">
        <v>9</v>
      </c>
    </row>
    <row r="40" spans="1:3" x14ac:dyDescent="0.25">
      <c r="A40" t="s">
        <v>40</v>
      </c>
      <c r="C40" s="1"/>
    </row>
    <row r="41" spans="1:3" x14ac:dyDescent="0.25">
      <c r="C41" s="1"/>
    </row>
    <row r="42" spans="1:3" x14ac:dyDescent="0.25">
      <c r="A42" t="s">
        <v>49</v>
      </c>
      <c r="B42">
        <v>0.39605600000000002</v>
      </c>
    </row>
    <row r="43" spans="1:3" x14ac:dyDescent="0.25">
      <c r="A43" t="s">
        <v>8</v>
      </c>
      <c r="B43">
        <v>47</v>
      </c>
      <c r="C43" t="s">
        <v>9</v>
      </c>
    </row>
    <row r="44" spans="1:3" x14ac:dyDescent="0.25">
      <c r="A44" t="s">
        <v>8</v>
      </c>
      <c r="B44">
        <v>52</v>
      </c>
      <c r="C44" t="s">
        <v>9</v>
      </c>
    </row>
    <row r="45" spans="1:3" x14ac:dyDescent="0.25">
      <c r="A45" t="s">
        <v>8</v>
      </c>
      <c r="B45">
        <v>80</v>
      </c>
      <c r="C45" t="s">
        <v>9</v>
      </c>
    </row>
    <row r="46" spans="1:3" x14ac:dyDescent="0.25">
      <c r="A46" t="s">
        <v>8</v>
      </c>
      <c r="B46">
        <v>83</v>
      </c>
      <c r="C46" t="s">
        <v>9</v>
      </c>
    </row>
    <row r="47" spans="1:3" x14ac:dyDescent="0.25">
      <c r="A47" t="s">
        <v>8</v>
      </c>
      <c r="B47">
        <v>92</v>
      </c>
      <c r="C47" t="s">
        <v>9</v>
      </c>
    </row>
    <row r="48" spans="1:3" x14ac:dyDescent="0.25">
      <c r="A48" t="s">
        <v>8</v>
      </c>
      <c r="B48">
        <v>103</v>
      </c>
      <c r="C48" t="s">
        <v>9</v>
      </c>
    </row>
    <row r="49" spans="1:3" x14ac:dyDescent="0.25">
      <c r="A49" t="s">
        <v>8</v>
      </c>
      <c r="B49">
        <v>110</v>
      </c>
      <c r="C49" t="s">
        <v>9</v>
      </c>
    </row>
    <row r="50" spans="1:3" x14ac:dyDescent="0.25">
      <c r="A50" t="s">
        <v>8</v>
      </c>
      <c r="B50">
        <v>112</v>
      </c>
      <c r="C50" t="s">
        <v>9</v>
      </c>
    </row>
    <row r="51" spans="1:3" x14ac:dyDescent="0.25">
      <c r="A51" t="s">
        <v>8</v>
      </c>
      <c r="B51">
        <v>117</v>
      </c>
      <c r="C51" t="s">
        <v>9</v>
      </c>
    </row>
    <row r="52" spans="1:3" x14ac:dyDescent="0.25">
      <c r="A52" t="s">
        <v>8</v>
      </c>
      <c r="B52">
        <v>120</v>
      </c>
      <c r="C52" t="s">
        <v>9</v>
      </c>
    </row>
    <row r="53" spans="1:3" x14ac:dyDescent="0.25">
      <c r="A53" t="s">
        <v>8</v>
      </c>
      <c r="B53">
        <v>128</v>
      </c>
      <c r="C53" t="s">
        <v>9</v>
      </c>
    </row>
    <row r="54" spans="1:3" x14ac:dyDescent="0.25">
      <c r="A54" t="s">
        <v>8</v>
      </c>
      <c r="B54">
        <v>136</v>
      </c>
      <c r="C54" t="s">
        <v>9</v>
      </c>
    </row>
    <row r="55" spans="1:3" x14ac:dyDescent="0.25">
      <c r="A55" t="s">
        <v>8</v>
      </c>
      <c r="B55">
        <v>138</v>
      </c>
      <c r="C55" t="s">
        <v>9</v>
      </c>
    </row>
    <row r="69" spans="3:3" x14ac:dyDescent="0.25">
      <c r="C69" s="1"/>
    </row>
    <row r="70" spans="3:3" x14ac:dyDescent="0.25">
      <c r="C70" s="1"/>
    </row>
    <row r="94" spans="3:3" x14ac:dyDescent="0.25">
      <c r="C94" s="1"/>
    </row>
    <row r="95" spans="3:3" x14ac:dyDescent="0.25">
      <c r="C9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4426-A16B-4056-8903-21FA1864CCBB}">
  <dimension ref="A1:U188"/>
  <sheetViews>
    <sheetView workbookViewId="0">
      <selection activeCell="B3" sqref="B3"/>
    </sheetView>
  </sheetViews>
  <sheetFormatPr defaultRowHeight="15" x14ac:dyDescent="0.25"/>
  <cols>
    <col min="1" max="1" width="13.5703125" bestFit="1" customWidth="1"/>
  </cols>
  <sheetData>
    <row r="1" spans="1:3" x14ac:dyDescent="0.25">
      <c r="A1" t="s">
        <v>14</v>
      </c>
      <c r="C1" s="1"/>
    </row>
    <row r="2" spans="1:3" x14ac:dyDescent="0.25">
      <c r="C2" s="1"/>
    </row>
    <row r="3" spans="1:3" x14ac:dyDescent="0.25">
      <c r="A3" t="s">
        <v>49</v>
      </c>
      <c r="B3">
        <v>0.38692799999999999</v>
      </c>
    </row>
    <row r="4" spans="1:3" x14ac:dyDescent="0.25">
      <c r="A4" t="s">
        <v>8</v>
      </c>
      <c r="B4">
        <v>47</v>
      </c>
      <c r="C4" t="s">
        <v>9</v>
      </c>
    </row>
    <row r="5" spans="1:3" x14ac:dyDescent="0.25">
      <c r="A5" t="s">
        <v>8</v>
      </c>
      <c r="B5">
        <v>52</v>
      </c>
      <c r="C5" t="s">
        <v>9</v>
      </c>
    </row>
    <row r="6" spans="1:3" x14ac:dyDescent="0.25">
      <c r="A6" t="s">
        <v>8</v>
      </c>
      <c r="B6">
        <v>80</v>
      </c>
      <c r="C6" t="s">
        <v>9</v>
      </c>
    </row>
    <row r="7" spans="1:3" x14ac:dyDescent="0.25">
      <c r="A7" t="s">
        <v>8</v>
      </c>
      <c r="B7">
        <v>97</v>
      </c>
      <c r="C7" t="s">
        <v>9</v>
      </c>
    </row>
    <row r="8" spans="1:3" x14ac:dyDescent="0.25">
      <c r="A8" t="s">
        <v>8</v>
      </c>
      <c r="B8">
        <v>103</v>
      </c>
      <c r="C8" t="s">
        <v>9</v>
      </c>
    </row>
    <row r="9" spans="1:3" x14ac:dyDescent="0.25">
      <c r="A9" t="s">
        <v>8</v>
      </c>
      <c r="B9">
        <v>110</v>
      </c>
      <c r="C9" t="s">
        <v>9</v>
      </c>
    </row>
    <row r="10" spans="1:3" x14ac:dyDescent="0.25">
      <c r="A10" t="s">
        <v>8</v>
      </c>
      <c r="B10">
        <v>111</v>
      </c>
      <c r="C10" t="s">
        <v>9</v>
      </c>
    </row>
    <row r="11" spans="1:3" x14ac:dyDescent="0.25">
      <c r="A11" t="s">
        <v>8</v>
      </c>
      <c r="B11">
        <v>112</v>
      </c>
      <c r="C11" t="s">
        <v>9</v>
      </c>
    </row>
    <row r="12" spans="1:3" x14ac:dyDescent="0.25">
      <c r="A12" t="s">
        <v>8</v>
      </c>
      <c r="B12">
        <v>120</v>
      </c>
      <c r="C12" t="s">
        <v>9</v>
      </c>
    </row>
    <row r="13" spans="1:3" x14ac:dyDescent="0.25">
      <c r="A13" t="s">
        <v>8</v>
      </c>
      <c r="B13">
        <v>128</v>
      </c>
      <c r="C13" t="s">
        <v>9</v>
      </c>
    </row>
    <row r="14" spans="1:3" x14ac:dyDescent="0.25">
      <c r="A14" t="s">
        <v>8</v>
      </c>
      <c r="B14">
        <v>137</v>
      </c>
      <c r="C14" t="s">
        <v>9</v>
      </c>
    </row>
    <row r="15" spans="1:3" x14ac:dyDescent="0.25">
      <c r="A15" t="s">
        <v>8</v>
      </c>
      <c r="B15">
        <v>138</v>
      </c>
      <c r="C15" t="s">
        <v>9</v>
      </c>
    </row>
    <row r="18" spans="1:21" x14ac:dyDescent="0.25">
      <c r="A18" t="s">
        <v>15</v>
      </c>
      <c r="C18" s="1"/>
      <c r="I18" s="1"/>
    </row>
    <row r="19" spans="1:21" x14ac:dyDescent="0.25">
      <c r="C19" s="1"/>
      <c r="I19" s="1"/>
      <c r="N19" s="1"/>
      <c r="U19" s="1"/>
    </row>
    <row r="20" spans="1:21" x14ac:dyDescent="0.25">
      <c r="A20" t="s">
        <v>49</v>
      </c>
      <c r="B20">
        <v>0.391181</v>
      </c>
      <c r="N20" s="1"/>
      <c r="U20" s="1"/>
    </row>
    <row r="21" spans="1:21" x14ac:dyDescent="0.25">
      <c r="A21" t="s">
        <v>8</v>
      </c>
      <c r="B21">
        <v>47</v>
      </c>
      <c r="C21" t="s">
        <v>9</v>
      </c>
    </row>
    <row r="22" spans="1:21" x14ac:dyDescent="0.25">
      <c r="A22" t="s">
        <v>8</v>
      </c>
      <c r="B22">
        <v>52</v>
      </c>
      <c r="C22" t="s">
        <v>9</v>
      </c>
    </row>
    <row r="23" spans="1:21" x14ac:dyDescent="0.25">
      <c r="A23" t="s">
        <v>8</v>
      </c>
      <c r="B23">
        <v>80</v>
      </c>
      <c r="C23" t="s">
        <v>9</v>
      </c>
    </row>
    <row r="24" spans="1:21" x14ac:dyDescent="0.25">
      <c r="A24" t="s">
        <v>8</v>
      </c>
      <c r="B24">
        <v>93</v>
      </c>
      <c r="C24" t="s">
        <v>9</v>
      </c>
    </row>
    <row r="25" spans="1:21" x14ac:dyDescent="0.25">
      <c r="A25" t="s">
        <v>8</v>
      </c>
      <c r="B25">
        <v>103</v>
      </c>
      <c r="C25" t="s">
        <v>9</v>
      </c>
    </row>
    <row r="26" spans="1:21" x14ac:dyDescent="0.25">
      <c r="A26" t="s">
        <v>8</v>
      </c>
      <c r="B26">
        <v>110</v>
      </c>
      <c r="C26" t="s">
        <v>9</v>
      </c>
    </row>
    <row r="27" spans="1:21" x14ac:dyDescent="0.25">
      <c r="A27" t="s">
        <v>8</v>
      </c>
      <c r="B27">
        <v>111</v>
      </c>
      <c r="C27" t="s">
        <v>9</v>
      </c>
    </row>
    <row r="28" spans="1:21" x14ac:dyDescent="0.25">
      <c r="A28" t="s">
        <v>8</v>
      </c>
      <c r="B28">
        <v>112</v>
      </c>
      <c r="C28" t="s">
        <v>9</v>
      </c>
    </row>
    <row r="29" spans="1:21" x14ac:dyDescent="0.25">
      <c r="A29" t="s">
        <v>8</v>
      </c>
      <c r="B29">
        <v>120</v>
      </c>
      <c r="C29" t="s">
        <v>9</v>
      </c>
    </row>
    <row r="30" spans="1:21" x14ac:dyDescent="0.25">
      <c r="A30" t="s">
        <v>8</v>
      </c>
      <c r="B30">
        <v>128</v>
      </c>
      <c r="C30" t="s">
        <v>9</v>
      </c>
    </row>
    <row r="31" spans="1:21" x14ac:dyDescent="0.25">
      <c r="A31" t="s">
        <v>8</v>
      </c>
      <c r="B31">
        <v>136</v>
      </c>
      <c r="C31" t="s">
        <v>9</v>
      </c>
    </row>
    <row r="32" spans="1:21" x14ac:dyDescent="0.25">
      <c r="A32" t="s">
        <v>8</v>
      </c>
      <c r="B32">
        <v>138</v>
      </c>
      <c r="C32" t="s">
        <v>9</v>
      </c>
    </row>
    <row r="38" spans="1:21" x14ac:dyDescent="0.25">
      <c r="A38" t="s">
        <v>40</v>
      </c>
      <c r="C38" s="1"/>
    </row>
    <row r="39" spans="1:21" x14ac:dyDescent="0.25">
      <c r="C39" s="1"/>
    </row>
    <row r="40" spans="1:21" x14ac:dyDescent="0.25">
      <c r="A40" t="s">
        <v>49</v>
      </c>
      <c r="B40">
        <v>0.38969399999999998</v>
      </c>
    </row>
    <row r="41" spans="1:21" x14ac:dyDescent="0.25">
      <c r="A41" t="s">
        <v>8</v>
      </c>
      <c r="B41">
        <v>47</v>
      </c>
      <c r="C41" t="s">
        <v>9</v>
      </c>
    </row>
    <row r="42" spans="1:21" x14ac:dyDescent="0.25">
      <c r="A42" t="s">
        <v>8</v>
      </c>
      <c r="B42">
        <v>52</v>
      </c>
      <c r="C42" t="s">
        <v>9</v>
      </c>
    </row>
    <row r="43" spans="1:21" x14ac:dyDescent="0.25">
      <c r="A43" t="s">
        <v>8</v>
      </c>
      <c r="B43">
        <v>80</v>
      </c>
      <c r="C43" t="s">
        <v>9</v>
      </c>
    </row>
    <row r="44" spans="1:21" x14ac:dyDescent="0.25">
      <c r="A44" t="s">
        <v>8</v>
      </c>
      <c r="B44">
        <v>103</v>
      </c>
      <c r="C44" t="s">
        <v>9</v>
      </c>
      <c r="N44" s="1"/>
    </row>
    <row r="45" spans="1:21" x14ac:dyDescent="0.25">
      <c r="A45" t="s">
        <v>8</v>
      </c>
      <c r="B45">
        <v>107</v>
      </c>
      <c r="C45" t="s">
        <v>9</v>
      </c>
      <c r="N45" s="1"/>
    </row>
    <row r="46" spans="1:21" x14ac:dyDescent="0.25">
      <c r="A46" t="s">
        <v>8</v>
      </c>
      <c r="B46">
        <v>110</v>
      </c>
      <c r="C46" t="s">
        <v>9</v>
      </c>
    </row>
    <row r="47" spans="1:21" x14ac:dyDescent="0.25">
      <c r="A47" t="s">
        <v>8</v>
      </c>
      <c r="B47">
        <v>111</v>
      </c>
      <c r="C47" t="s">
        <v>9</v>
      </c>
      <c r="U47" s="1"/>
    </row>
    <row r="48" spans="1:21" x14ac:dyDescent="0.25">
      <c r="A48" t="s">
        <v>8</v>
      </c>
      <c r="B48">
        <v>112</v>
      </c>
      <c r="C48" t="s">
        <v>9</v>
      </c>
      <c r="U48" s="1"/>
    </row>
    <row r="49" spans="1:3" x14ac:dyDescent="0.25">
      <c r="A49" t="s">
        <v>8</v>
      </c>
      <c r="B49">
        <v>120</v>
      </c>
      <c r="C49" t="s">
        <v>9</v>
      </c>
    </row>
    <row r="50" spans="1:3" x14ac:dyDescent="0.25">
      <c r="A50" t="s">
        <v>8</v>
      </c>
      <c r="B50">
        <v>128</v>
      </c>
      <c r="C50" t="s">
        <v>9</v>
      </c>
    </row>
    <row r="51" spans="1:3" x14ac:dyDescent="0.25">
      <c r="A51" t="s">
        <v>8</v>
      </c>
      <c r="B51">
        <v>131</v>
      </c>
      <c r="C51" t="s">
        <v>9</v>
      </c>
    </row>
    <row r="52" spans="1:3" x14ac:dyDescent="0.25">
      <c r="A52" t="s">
        <v>8</v>
      </c>
      <c r="B52">
        <v>138</v>
      </c>
      <c r="C52" t="s">
        <v>9</v>
      </c>
    </row>
    <row r="53" spans="1:3" x14ac:dyDescent="0.25">
      <c r="A53" t="s">
        <v>8</v>
      </c>
      <c r="B53">
        <v>139</v>
      </c>
      <c r="C53" t="s">
        <v>9</v>
      </c>
    </row>
    <row r="67" spans="14:21" x14ac:dyDescent="0.25">
      <c r="N67" s="1"/>
    </row>
    <row r="68" spans="14:21" x14ac:dyDescent="0.25">
      <c r="N68" s="1"/>
    </row>
    <row r="79" spans="14:21" x14ac:dyDescent="0.25">
      <c r="U79" s="1"/>
    </row>
    <row r="80" spans="14:21" x14ac:dyDescent="0.25">
      <c r="U80" s="1"/>
    </row>
    <row r="145" spans="2:2" x14ac:dyDescent="0.25">
      <c r="B145" t="s">
        <v>34</v>
      </c>
    </row>
    <row r="146" spans="2:2" x14ac:dyDescent="0.25">
      <c r="B146" t="s">
        <v>35</v>
      </c>
    </row>
    <row r="147" spans="2:2" x14ac:dyDescent="0.25">
      <c r="B147" t="s">
        <v>36</v>
      </c>
    </row>
    <row r="148" spans="2:2" x14ac:dyDescent="0.25">
      <c r="B148" t="s">
        <v>27</v>
      </c>
    </row>
    <row r="150" spans="2:2" x14ac:dyDescent="0.25">
      <c r="B150" t="s">
        <v>16</v>
      </c>
    </row>
    <row r="151" spans="2:2" x14ac:dyDescent="0.25">
      <c r="B151" t="s">
        <v>31</v>
      </c>
    </row>
    <row r="152" spans="2:2" x14ac:dyDescent="0.25">
      <c r="B152" t="s">
        <v>37</v>
      </c>
    </row>
    <row r="153" spans="2:2" x14ac:dyDescent="0.25">
      <c r="B153" t="s">
        <v>38</v>
      </c>
    </row>
    <row r="154" spans="2:2" x14ac:dyDescent="0.25">
      <c r="B154" t="s">
        <v>39</v>
      </c>
    </row>
    <row r="155" spans="2:2" x14ac:dyDescent="0.25">
      <c r="B155" t="s">
        <v>28</v>
      </c>
    </row>
    <row r="156" spans="2:2" x14ac:dyDescent="0.25">
      <c r="B156" t="s">
        <v>10</v>
      </c>
    </row>
    <row r="157" spans="2:2" x14ac:dyDescent="0.25">
      <c r="B157" t="s">
        <v>1</v>
      </c>
    </row>
    <row r="158" spans="2:2" x14ac:dyDescent="0.25">
      <c r="B158" t="s">
        <v>32</v>
      </c>
    </row>
    <row r="159" spans="2:2" x14ac:dyDescent="0.25">
      <c r="B159" t="s">
        <v>29</v>
      </c>
    </row>
    <row r="160" spans="2:2" x14ac:dyDescent="0.25">
      <c r="B160" t="s">
        <v>2</v>
      </c>
    </row>
    <row r="161" spans="2:2" x14ac:dyDescent="0.25">
      <c r="B161" t="s">
        <v>3</v>
      </c>
    </row>
    <row r="162" spans="2:2" x14ac:dyDescent="0.25">
      <c r="B162" t="s">
        <v>4</v>
      </c>
    </row>
    <row r="163" spans="2:2" x14ac:dyDescent="0.25">
      <c r="B163" t="s">
        <v>30</v>
      </c>
    </row>
    <row r="164" spans="2:2" x14ac:dyDescent="0.25">
      <c r="B164" t="s">
        <v>5</v>
      </c>
    </row>
    <row r="165" spans="2:2" x14ac:dyDescent="0.25">
      <c r="B165" t="s">
        <v>33</v>
      </c>
    </row>
    <row r="166" spans="2:2" x14ac:dyDescent="0.25">
      <c r="B166" t="s">
        <v>6</v>
      </c>
    </row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FDBD-7856-49D7-B636-51F2F521D8C8}">
  <dimension ref="A1:W187"/>
  <sheetViews>
    <sheetView workbookViewId="0">
      <selection activeCell="H29" sqref="H29"/>
    </sheetView>
  </sheetViews>
  <sheetFormatPr defaultRowHeight="15" x14ac:dyDescent="0.25"/>
  <cols>
    <col min="1" max="1" width="13.5703125" bestFit="1" customWidth="1"/>
  </cols>
  <sheetData>
    <row r="1" spans="1:23" x14ac:dyDescent="0.25">
      <c r="I1" s="1"/>
      <c r="W1" s="1"/>
    </row>
    <row r="2" spans="1:23" x14ac:dyDescent="0.25">
      <c r="A2" t="s">
        <v>50</v>
      </c>
      <c r="C2" s="1"/>
      <c r="I2" s="1"/>
      <c r="W2" s="1"/>
    </row>
    <row r="3" spans="1:23" x14ac:dyDescent="0.25">
      <c r="C3" s="1"/>
      <c r="O3" s="1"/>
    </row>
    <row r="4" spans="1:23" x14ac:dyDescent="0.25">
      <c r="A4" t="s">
        <v>49</v>
      </c>
      <c r="B4">
        <v>0.39666099999999999</v>
      </c>
      <c r="O4" s="1"/>
    </row>
    <row r="5" spans="1:23" x14ac:dyDescent="0.25">
      <c r="A5" t="s">
        <v>8</v>
      </c>
      <c r="B5">
        <v>47</v>
      </c>
      <c r="C5" t="s">
        <v>9</v>
      </c>
    </row>
    <row r="6" spans="1:23" x14ac:dyDescent="0.25">
      <c r="A6" t="s">
        <v>8</v>
      </c>
      <c r="B6">
        <v>52</v>
      </c>
      <c r="C6" t="s">
        <v>9</v>
      </c>
    </row>
    <row r="7" spans="1:23" x14ac:dyDescent="0.25">
      <c r="A7" t="s">
        <v>8</v>
      </c>
      <c r="B7">
        <v>80</v>
      </c>
      <c r="C7" t="s">
        <v>9</v>
      </c>
    </row>
    <row r="8" spans="1:23" x14ac:dyDescent="0.25">
      <c r="A8" t="s">
        <v>8</v>
      </c>
      <c r="B8">
        <v>103</v>
      </c>
      <c r="C8" t="s">
        <v>9</v>
      </c>
    </row>
    <row r="9" spans="1:23" x14ac:dyDescent="0.25">
      <c r="A9" t="s">
        <v>8</v>
      </c>
      <c r="B9">
        <v>107</v>
      </c>
      <c r="C9" t="s">
        <v>9</v>
      </c>
    </row>
    <row r="10" spans="1:23" x14ac:dyDescent="0.25">
      <c r="A10" t="s">
        <v>8</v>
      </c>
      <c r="B10">
        <v>110</v>
      </c>
      <c r="C10" t="s">
        <v>9</v>
      </c>
    </row>
    <row r="11" spans="1:23" x14ac:dyDescent="0.25">
      <c r="A11" t="s">
        <v>8</v>
      </c>
      <c r="B11">
        <v>111</v>
      </c>
      <c r="C11" t="s">
        <v>9</v>
      </c>
    </row>
    <row r="12" spans="1:23" x14ac:dyDescent="0.25">
      <c r="A12" t="s">
        <v>8</v>
      </c>
      <c r="B12">
        <v>112</v>
      </c>
      <c r="C12" t="s">
        <v>9</v>
      </c>
    </row>
    <row r="13" spans="1:23" x14ac:dyDescent="0.25">
      <c r="A13" t="s">
        <v>8</v>
      </c>
      <c r="B13">
        <v>120</v>
      </c>
      <c r="C13" t="s">
        <v>9</v>
      </c>
    </row>
    <row r="14" spans="1:23" x14ac:dyDescent="0.25">
      <c r="A14" t="s">
        <v>8</v>
      </c>
      <c r="B14">
        <v>128</v>
      </c>
      <c r="C14" t="s">
        <v>9</v>
      </c>
    </row>
    <row r="15" spans="1:23" x14ac:dyDescent="0.25">
      <c r="A15" t="s">
        <v>8</v>
      </c>
      <c r="B15">
        <v>138</v>
      </c>
      <c r="C15" t="s">
        <v>9</v>
      </c>
    </row>
    <row r="16" spans="1:23" x14ac:dyDescent="0.25">
      <c r="A16" t="s">
        <v>8</v>
      </c>
      <c r="B16">
        <v>139</v>
      </c>
      <c r="C16" t="s">
        <v>9</v>
      </c>
    </row>
    <row r="20" spans="1:23" x14ac:dyDescent="0.25">
      <c r="A20" t="s">
        <v>15</v>
      </c>
      <c r="C20" s="1"/>
    </row>
    <row r="21" spans="1:23" x14ac:dyDescent="0.25">
      <c r="C21" s="1"/>
    </row>
    <row r="22" spans="1:23" x14ac:dyDescent="0.25">
      <c r="A22" t="s">
        <v>49</v>
      </c>
      <c r="B22">
        <v>0.38338</v>
      </c>
    </row>
    <row r="23" spans="1:23" x14ac:dyDescent="0.25">
      <c r="A23" t="s">
        <v>8</v>
      </c>
      <c r="B23">
        <v>47</v>
      </c>
      <c r="C23" t="s">
        <v>9</v>
      </c>
    </row>
    <row r="24" spans="1:23" x14ac:dyDescent="0.25">
      <c r="A24" t="s">
        <v>8</v>
      </c>
      <c r="B24">
        <v>52</v>
      </c>
      <c r="C24" t="s">
        <v>9</v>
      </c>
    </row>
    <row r="25" spans="1:23" x14ac:dyDescent="0.25">
      <c r="A25" t="s">
        <v>8</v>
      </c>
      <c r="B25">
        <v>80</v>
      </c>
      <c r="C25" t="s">
        <v>9</v>
      </c>
    </row>
    <row r="26" spans="1:23" x14ac:dyDescent="0.25">
      <c r="A26" t="s">
        <v>8</v>
      </c>
      <c r="B26">
        <v>95</v>
      </c>
      <c r="C26" t="s">
        <v>9</v>
      </c>
    </row>
    <row r="27" spans="1:23" x14ac:dyDescent="0.25">
      <c r="A27" t="s">
        <v>8</v>
      </c>
      <c r="B27">
        <v>103</v>
      </c>
      <c r="C27" t="s">
        <v>9</v>
      </c>
      <c r="W27" s="1"/>
    </row>
    <row r="28" spans="1:23" x14ac:dyDescent="0.25">
      <c r="A28" t="s">
        <v>8</v>
      </c>
      <c r="B28">
        <v>107</v>
      </c>
      <c r="C28" t="s">
        <v>9</v>
      </c>
      <c r="W28" s="1"/>
    </row>
    <row r="29" spans="1:23" x14ac:dyDescent="0.25">
      <c r="A29" t="s">
        <v>8</v>
      </c>
      <c r="B29">
        <v>110</v>
      </c>
      <c r="C29" t="s">
        <v>9</v>
      </c>
    </row>
    <row r="30" spans="1:23" x14ac:dyDescent="0.25">
      <c r="A30" t="s">
        <v>8</v>
      </c>
      <c r="B30">
        <v>111</v>
      </c>
      <c r="C30" t="s">
        <v>9</v>
      </c>
    </row>
    <row r="31" spans="1:23" x14ac:dyDescent="0.25">
      <c r="A31" t="s">
        <v>8</v>
      </c>
      <c r="B31">
        <v>112</v>
      </c>
      <c r="C31" t="s">
        <v>9</v>
      </c>
    </row>
    <row r="32" spans="1:23" x14ac:dyDescent="0.25">
      <c r="A32" t="s">
        <v>8</v>
      </c>
      <c r="B32">
        <v>117</v>
      </c>
      <c r="C32" t="s">
        <v>9</v>
      </c>
    </row>
    <row r="33" spans="1:3" x14ac:dyDescent="0.25">
      <c r="A33" t="s">
        <v>8</v>
      </c>
      <c r="B33">
        <v>120</v>
      </c>
      <c r="C33" t="s">
        <v>9</v>
      </c>
    </row>
    <row r="34" spans="1:3" x14ac:dyDescent="0.25">
      <c r="A34" t="s">
        <v>8</v>
      </c>
      <c r="B34">
        <v>128</v>
      </c>
      <c r="C34" t="s">
        <v>9</v>
      </c>
    </row>
    <row r="35" spans="1:3" x14ac:dyDescent="0.25">
      <c r="A35" t="s">
        <v>8</v>
      </c>
      <c r="B35">
        <v>134</v>
      </c>
      <c r="C35" t="s">
        <v>9</v>
      </c>
    </row>
    <row r="36" spans="1:3" x14ac:dyDescent="0.25">
      <c r="A36" t="s">
        <v>8</v>
      </c>
      <c r="B36">
        <v>138</v>
      </c>
      <c r="C36" t="s">
        <v>9</v>
      </c>
    </row>
    <row r="40" spans="1:3" x14ac:dyDescent="0.25">
      <c r="A40" t="s">
        <v>40</v>
      </c>
      <c r="C40" s="1"/>
    </row>
    <row r="41" spans="1:3" x14ac:dyDescent="0.25">
      <c r="C41" s="1"/>
    </row>
    <row r="42" spans="1:3" x14ac:dyDescent="0.25">
      <c r="A42" t="s">
        <v>49</v>
      </c>
      <c r="B42">
        <v>0.393262</v>
      </c>
    </row>
    <row r="43" spans="1:3" x14ac:dyDescent="0.25">
      <c r="A43" t="s">
        <v>8</v>
      </c>
      <c r="B43">
        <v>47</v>
      </c>
      <c r="C43" t="s">
        <v>9</v>
      </c>
    </row>
    <row r="44" spans="1:3" x14ac:dyDescent="0.25">
      <c r="A44" t="s">
        <v>8</v>
      </c>
      <c r="B44">
        <v>52</v>
      </c>
      <c r="C44" t="s">
        <v>9</v>
      </c>
    </row>
    <row r="45" spans="1:3" x14ac:dyDescent="0.25">
      <c r="A45" t="s">
        <v>8</v>
      </c>
      <c r="B45">
        <v>80</v>
      </c>
      <c r="C45" t="s">
        <v>9</v>
      </c>
    </row>
    <row r="46" spans="1:3" x14ac:dyDescent="0.25">
      <c r="A46" t="s">
        <v>8</v>
      </c>
      <c r="B46">
        <v>103</v>
      </c>
      <c r="C46" t="s">
        <v>9</v>
      </c>
    </row>
    <row r="47" spans="1:3" x14ac:dyDescent="0.25">
      <c r="A47" t="s">
        <v>8</v>
      </c>
      <c r="B47">
        <v>107</v>
      </c>
      <c r="C47" t="s">
        <v>9</v>
      </c>
    </row>
    <row r="48" spans="1:3" x14ac:dyDescent="0.25">
      <c r="A48" t="s">
        <v>8</v>
      </c>
      <c r="B48">
        <v>110</v>
      </c>
      <c r="C48" t="s">
        <v>9</v>
      </c>
    </row>
    <row r="49" spans="1:3" x14ac:dyDescent="0.25">
      <c r="A49" t="s">
        <v>8</v>
      </c>
      <c r="B49">
        <v>111</v>
      </c>
      <c r="C49" t="s">
        <v>9</v>
      </c>
    </row>
    <row r="50" spans="1:3" x14ac:dyDescent="0.25">
      <c r="A50" t="s">
        <v>8</v>
      </c>
      <c r="B50">
        <v>112</v>
      </c>
      <c r="C50" t="s">
        <v>9</v>
      </c>
    </row>
    <row r="51" spans="1:3" x14ac:dyDescent="0.25">
      <c r="A51" t="s">
        <v>8</v>
      </c>
      <c r="B51">
        <v>120</v>
      </c>
      <c r="C51" t="s">
        <v>9</v>
      </c>
    </row>
    <row r="52" spans="1:3" x14ac:dyDescent="0.25">
      <c r="A52" t="s">
        <v>8</v>
      </c>
      <c r="B52">
        <v>128</v>
      </c>
      <c r="C52" t="s">
        <v>9</v>
      </c>
    </row>
    <row r="53" spans="1:3" x14ac:dyDescent="0.25">
      <c r="A53" t="s">
        <v>8</v>
      </c>
      <c r="B53">
        <v>131</v>
      </c>
      <c r="C53" t="s">
        <v>9</v>
      </c>
    </row>
    <row r="54" spans="1:3" x14ac:dyDescent="0.25">
      <c r="A54" t="s">
        <v>8</v>
      </c>
      <c r="B54">
        <v>138</v>
      </c>
      <c r="C54" t="s">
        <v>9</v>
      </c>
    </row>
    <row r="55" spans="1:3" x14ac:dyDescent="0.25">
      <c r="A55" t="s">
        <v>8</v>
      </c>
      <c r="B55">
        <v>139</v>
      </c>
      <c r="C55" t="s">
        <v>9</v>
      </c>
    </row>
    <row r="68" spans="3:3" x14ac:dyDescent="0.25">
      <c r="C68" s="1"/>
    </row>
    <row r="69" spans="3:3" x14ac:dyDescent="0.25">
      <c r="C69" s="1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8" spans="3:3" x14ac:dyDescent="0.25">
      <c r="C98" s="1"/>
    </row>
    <row r="99" spans="3:3" x14ac:dyDescent="0.25">
      <c r="C99" s="1"/>
    </row>
    <row r="113" customFormat="1" x14ac:dyDescent="0.25"/>
    <row r="114" customFormat="1" x14ac:dyDescent="0.25"/>
    <row r="115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CB35-CDD5-47B0-8B41-B43AA4AACB71}">
  <dimension ref="A4:P118"/>
  <sheetViews>
    <sheetView workbookViewId="0">
      <selection activeCell="H29" sqref="H29"/>
    </sheetView>
  </sheetViews>
  <sheetFormatPr defaultRowHeight="15" x14ac:dyDescent="0.25"/>
  <cols>
    <col min="1" max="1" width="13.5703125" bestFit="1" customWidth="1"/>
  </cols>
  <sheetData>
    <row r="4" spans="1:16" x14ac:dyDescent="0.25">
      <c r="A4" t="s">
        <v>50</v>
      </c>
      <c r="C4" s="1"/>
    </row>
    <row r="5" spans="1:16" x14ac:dyDescent="0.25">
      <c r="C5" s="1"/>
    </row>
    <row r="6" spans="1:16" x14ac:dyDescent="0.25">
      <c r="A6" t="s">
        <v>49</v>
      </c>
      <c r="B6">
        <v>0.39693899999999999</v>
      </c>
    </row>
    <row r="7" spans="1:16" x14ac:dyDescent="0.25">
      <c r="A7" t="s">
        <v>8</v>
      </c>
      <c r="B7">
        <v>31</v>
      </c>
      <c r="C7" t="s">
        <v>9</v>
      </c>
    </row>
    <row r="8" spans="1:16" x14ac:dyDescent="0.25">
      <c r="A8" t="s">
        <v>8</v>
      </c>
      <c r="B8">
        <v>47</v>
      </c>
      <c r="C8" t="s">
        <v>9</v>
      </c>
    </row>
    <row r="9" spans="1:16" x14ac:dyDescent="0.25">
      <c r="A9" t="s">
        <v>8</v>
      </c>
      <c r="B9">
        <v>52</v>
      </c>
      <c r="C9" t="s">
        <v>9</v>
      </c>
    </row>
    <row r="10" spans="1:16" x14ac:dyDescent="0.25">
      <c r="A10" t="s">
        <v>8</v>
      </c>
      <c r="B10">
        <v>80</v>
      </c>
      <c r="C10" t="s">
        <v>9</v>
      </c>
    </row>
    <row r="11" spans="1:16" x14ac:dyDescent="0.25">
      <c r="A11" t="s">
        <v>8</v>
      </c>
      <c r="B11">
        <v>87</v>
      </c>
      <c r="C11" t="s">
        <v>9</v>
      </c>
    </row>
    <row r="12" spans="1:16" x14ac:dyDescent="0.25">
      <c r="A12" t="s">
        <v>8</v>
      </c>
      <c r="B12">
        <v>95</v>
      </c>
      <c r="C12" t="s">
        <v>9</v>
      </c>
    </row>
    <row r="13" spans="1:16" x14ac:dyDescent="0.25">
      <c r="A13" t="s">
        <v>8</v>
      </c>
      <c r="B13">
        <v>103</v>
      </c>
      <c r="C13" t="s">
        <v>9</v>
      </c>
      <c r="I13" s="1"/>
      <c r="P13" s="1"/>
    </row>
    <row r="14" spans="1:16" x14ac:dyDescent="0.25">
      <c r="A14" t="s">
        <v>8</v>
      </c>
      <c r="B14">
        <v>110</v>
      </c>
      <c r="C14" t="s">
        <v>9</v>
      </c>
      <c r="I14" s="1"/>
      <c r="P14" s="1"/>
    </row>
    <row r="15" spans="1:16" x14ac:dyDescent="0.25">
      <c r="A15" t="s">
        <v>8</v>
      </c>
      <c r="B15">
        <v>111</v>
      </c>
      <c r="C15" t="s">
        <v>9</v>
      </c>
    </row>
    <row r="16" spans="1:16" x14ac:dyDescent="0.25">
      <c r="A16" t="s">
        <v>8</v>
      </c>
      <c r="B16">
        <v>112</v>
      </c>
      <c r="C16" t="s">
        <v>9</v>
      </c>
    </row>
    <row r="17" spans="1:3" x14ac:dyDescent="0.25">
      <c r="A17" t="s">
        <v>8</v>
      </c>
      <c r="B17">
        <v>117</v>
      </c>
      <c r="C17" t="s">
        <v>9</v>
      </c>
    </row>
    <row r="18" spans="1:3" x14ac:dyDescent="0.25">
      <c r="A18" t="s">
        <v>8</v>
      </c>
      <c r="B18">
        <v>120</v>
      </c>
      <c r="C18" t="s">
        <v>9</v>
      </c>
    </row>
    <row r="19" spans="1:3" x14ac:dyDescent="0.25">
      <c r="A19" t="s">
        <v>8</v>
      </c>
      <c r="B19">
        <v>128</v>
      </c>
      <c r="C19" t="s">
        <v>9</v>
      </c>
    </row>
    <row r="20" spans="1:3" x14ac:dyDescent="0.25">
      <c r="A20" t="s">
        <v>8</v>
      </c>
      <c r="B20">
        <v>136</v>
      </c>
      <c r="C20" t="s">
        <v>9</v>
      </c>
    </row>
    <row r="21" spans="1:3" x14ac:dyDescent="0.25">
      <c r="A21" t="s">
        <v>8</v>
      </c>
      <c r="B21">
        <v>138</v>
      </c>
      <c r="C21" t="s">
        <v>9</v>
      </c>
    </row>
    <row r="27" spans="1:3" x14ac:dyDescent="0.25">
      <c r="A27" t="s">
        <v>15</v>
      </c>
      <c r="C27" s="1"/>
    </row>
    <row r="28" spans="1:3" x14ac:dyDescent="0.25">
      <c r="C28" s="1"/>
    </row>
    <row r="29" spans="1:3" x14ac:dyDescent="0.25">
      <c r="A29" t="s">
        <v>49</v>
      </c>
      <c r="B29">
        <v>0.38063399999999997</v>
      </c>
    </row>
    <row r="30" spans="1:3" x14ac:dyDescent="0.25">
      <c r="A30" t="s">
        <v>8</v>
      </c>
      <c r="B30">
        <v>31</v>
      </c>
      <c r="C30" t="s">
        <v>9</v>
      </c>
    </row>
    <row r="31" spans="1:3" x14ac:dyDescent="0.25">
      <c r="A31" t="s">
        <v>8</v>
      </c>
      <c r="B31">
        <v>47</v>
      </c>
      <c r="C31" t="s">
        <v>9</v>
      </c>
    </row>
    <row r="32" spans="1:3" x14ac:dyDescent="0.25">
      <c r="A32" t="s">
        <v>8</v>
      </c>
      <c r="B32">
        <v>52</v>
      </c>
      <c r="C32" t="s">
        <v>9</v>
      </c>
    </row>
    <row r="33" spans="1:3" x14ac:dyDescent="0.25">
      <c r="A33" t="s">
        <v>8</v>
      </c>
      <c r="B33">
        <v>74</v>
      </c>
      <c r="C33" t="s">
        <v>9</v>
      </c>
    </row>
    <row r="34" spans="1:3" x14ac:dyDescent="0.25">
      <c r="A34" t="s">
        <v>8</v>
      </c>
      <c r="B34">
        <v>80</v>
      </c>
      <c r="C34" t="s">
        <v>9</v>
      </c>
    </row>
    <row r="35" spans="1:3" x14ac:dyDescent="0.25">
      <c r="A35" t="s">
        <v>8</v>
      </c>
      <c r="B35">
        <v>87</v>
      </c>
      <c r="C35" t="s">
        <v>9</v>
      </c>
    </row>
    <row r="36" spans="1:3" x14ac:dyDescent="0.25">
      <c r="A36" t="s">
        <v>8</v>
      </c>
      <c r="B36">
        <v>92</v>
      </c>
      <c r="C36" t="s">
        <v>9</v>
      </c>
    </row>
    <row r="37" spans="1:3" x14ac:dyDescent="0.25">
      <c r="A37" t="s">
        <v>8</v>
      </c>
      <c r="B37">
        <v>94</v>
      </c>
      <c r="C37" t="s">
        <v>9</v>
      </c>
    </row>
    <row r="38" spans="1:3" x14ac:dyDescent="0.25">
      <c r="A38" t="s">
        <v>8</v>
      </c>
      <c r="B38">
        <v>95</v>
      </c>
      <c r="C38" t="s">
        <v>9</v>
      </c>
    </row>
    <row r="39" spans="1:3" x14ac:dyDescent="0.25">
      <c r="A39" t="s">
        <v>8</v>
      </c>
      <c r="B39">
        <v>102</v>
      </c>
      <c r="C39" t="s">
        <v>9</v>
      </c>
    </row>
    <row r="40" spans="1:3" x14ac:dyDescent="0.25">
      <c r="A40" t="s">
        <v>8</v>
      </c>
      <c r="B40">
        <v>103</v>
      </c>
      <c r="C40" t="s">
        <v>9</v>
      </c>
    </row>
    <row r="41" spans="1:3" x14ac:dyDescent="0.25">
      <c r="A41" t="s">
        <v>8</v>
      </c>
      <c r="B41">
        <v>106</v>
      </c>
      <c r="C41" t="s">
        <v>9</v>
      </c>
    </row>
    <row r="42" spans="1:3" x14ac:dyDescent="0.25">
      <c r="A42" t="s">
        <v>8</v>
      </c>
      <c r="B42">
        <v>107</v>
      </c>
      <c r="C42" t="s">
        <v>9</v>
      </c>
    </row>
    <row r="43" spans="1:3" x14ac:dyDescent="0.25">
      <c r="A43" t="s">
        <v>8</v>
      </c>
      <c r="B43">
        <v>110</v>
      </c>
      <c r="C43" t="s">
        <v>9</v>
      </c>
    </row>
    <row r="44" spans="1:3" x14ac:dyDescent="0.25">
      <c r="A44" t="s">
        <v>8</v>
      </c>
      <c r="B44">
        <v>111</v>
      </c>
      <c r="C44" t="s">
        <v>9</v>
      </c>
    </row>
    <row r="45" spans="1:3" x14ac:dyDescent="0.25">
      <c r="A45" t="s">
        <v>8</v>
      </c>
      <c r="B45">
        <v>112</v>
      </c>
      <c r="C45" t="s">
        <v>9</v>
      </c>
    </row>
    <row r="46" spans="1:3" x14ac:dyDescent="0.25">
      <c r="A46" t="s">
        <v>8</v>
      </c>
      <c r="B46">
        <v>117</v>
      </c>
      <c r="C46" t="s">
        <v>9</v>
      </c>
    </row>
    <row r="47" spans="1:3" x14ac:dyDescent="0.25">
      <c r="A47" t="s">
        <v>8</v>
      </c>
      <c r="B47">
        <v>120</v>
      </c>
      <c r="C47" t="s">
        <v>9</v>
      </c>
    </row>
    <row r="48" spans="1:3" x14ac:dyDescent="0.25">
      <c r="A48" t="s">
        <v>8</v>
      </c>
      <c r="B48">
        <v>128</v>
      </c>
      <c r="C48" t="s">
        <v>9</v>
      </c>
    </row>
    <row r="49" spans="1:9" x14ac:dyDescent="0.25">
      <c r="A49" t="s">
        <v>8</v>
      </c>
      <c r="B49">
        <v>136</v>
      </c>
      <c r="C49" t="s">
        <v>9</v>
      </c>
    </row>
    <row r="50" spans="1:9" x14ac:dyDescent="0.25">
      <c r="A50" t="s">
        <v>8</v>
      </c>
      <c r="B50">
        <v>138</v>
      </c>
      <c r="C50" t="s">
        <v>9</v>
      </c>
      <c r="I50" s="1"/>
    </row>
    <row r="51" spans="1:9" x14ac:dyDescent="0.25">
      <c r="I51" s="1"/>
    </row>
    <row r="55" spans="1:9" x14ac:dyDescent="0.25">
      <c r="A55" t="s">
        <v>40</v>
      </c>
      <c r="C55" s="1"/>
    </row>
    <row r="56" spans="1:9" x14ac:dyDescent="0.25">
      <c r="C56" s="1"/>
    </row>
    <row r="57" spans="1:9" x14ac:dyDescent="0.25">
      <c r="A57" t="s">
        <v>49</v>
      </c>
      <c r="B57">
        <v>0.39693899999999999</v>
      </c>
    </row>
    <row r="58" spans="1:9" x14ac:dyDescent="0.25">
      <c r="A58" t="s">
        <v>8</v>
      </c>
      <c r="B58">
        <v>31</v>
      </c>
      <c r="C58" t="s">
        <v>9</v>
      </c>
    </row>
    <row r="59" spans="1:9" x14ac:dyDescent="0.25">
      <c r="A59" t="s">
        <v>8</v>
      </c>
      <c r="B59">
        <v>47</v>
      </c>
      <c r="C59" t="s">
        <v>9</v>
      </c>
    </row>
    <row r="60" spans="1:9" x14ac:dyDescent="0.25">
      <c r="A60" t="s">
        <v>8</v>
      </c>
      <c r="B60">
        <v>52</v>
      </c>
      <c r="C60" t="s">
        <v>9</v>
      </c>
    </row>
    <row r="61" spans="1:9" x14ac:dyDescent="0.25">
      <c r="A61" t="s">
        <v>8</v>
      </c>
      <c r="B61">
        <v>80</v>
      </c>
      <c r="C61" t="s">
        <v>9</v>
      </c>
    </row>
    <row r="62" spans="1:9" x14ac:dyDescent="0.25">
      <c r="A62" t="s">
        <v>8</v>
      </c>
      <c r="B62">
        <v>87</v>
      </c>
      <c r="C62" t="s">
        <v>9</v>
      </c>
    </row>
    <row r="63" spans="1:9" x14ac:dyDescent="0.25">
      <c r="A63" t="s">
        <v>8</v>
      </c>
      <c r="B63">
        <v>95</v>
      </c>
      <c r="C63" t="s">
        <v>9</v>
      </c>
    </row>
    <row r="64" spans="1:9" x14ac:dyDescent="0.25">
      <c r="A64" t="s">
        <v>8</v>
      </c>
      <c r="B64">
        <v>103</v>
      </c>
      <c r="C64" t="s">
        <v>9</v>
      </c>
    </row>
    <row r="65" spans="1:3" x14ac:dyDescent="0.25">
      <c r="A65" t="s">
        <v>8</v>
      </c>
      <c r="B65">
        <v>110</v>
      </c>
      <c r="C65" t="s">
        <v>9</v>
      </c>
    </row>
    <row r="66" spans="1:3" x14ac:dyDescent="0.25">
      <c r="A66" t="s">
        <v>8</v>
      </c>
      <c r="B66">
        <v>111</v>
      </c>
      <c r="C66" t="s">
        <v>9</v>
      </c>
    </row>
    <row r="67" spans="1:3" x14ac:dyDescent="0.25">
      <c r="A67" t="s">
        <v>8</v>
      </c>
      <c r="B67">
        <v>112</v>
      </c>
      <c r="C67" t="s">
        <v>9</v>
      </c>
    </row>
    <row r="68" spans="1:3" x14ac:dyDescent="0.25">
      <c r="A68" t="s">
        <v>8</v>
      </c>
      <c r="B68">
        <v>117</v>
      </c>
      <c r="C68" t="s">
        <v>9</v>
      </c>
    </row>
    <row r="69" spans="1:3" x14ac:dyDescent="0.25">
      <c r="A69" t="s">
        <v>8</v>
      </c>
      <c r="B69">
        <v>120</v>
      </c>
      <c r="C69" t="s">
        <v>9</v>
      </c>
    </row>
    <row r="70" spans="1:3" x14ac:dyDescent="0.25">
      <c r="A70" t="s">
        <v>8</v>
      </c>
      <c r="B70">
        <v>128</v>
      </c>
      <c r="C70" t="s">
        <v>9</v>
      </c>
    </row>
    <row r="71" spans="1:3" x14ac:dyDescent="0.25">
      <c r="A71" t="s">
        <v>8</v>
      </c>
      <c r="B71">
        <v>136</v>
      </c>
      <c r="C71" t="s">
        <v>9</v>
      </c>
    </row>
    <row r="72" spans="1:3" x14ac:dyDescent="0.25">
      <c r="A72" t="s">
        <v>8</v>
      </c>
      <c r="B72">
        <v>138</v>
      </c>
      <c r="C72" t="s">
        <v>9</v>
      </c>
    </row>
    <row r="83" spans="3:3" x14ac:dyDescent="0.25">
      <c r="C83" s="1"/>
    </row>
    <row r="84" spans="3:3" x14ac:dyDescent="0.25">
      <c r="C84" s="1"/>
    </row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A8F1-F69C-4944-A747-0DBF6C0508F1}">
  <dimension ref="A2:U71"/>
  <sheetViews>
    <sheetView topLeftCell="A11" workbookViewId="0">
      <selection activeCell="H29" sqref="H29"/>
    </sheetView>
  </sheetViews>
  <sheetFormatPr defaultRowHeight="15" x14ac:dyDescent="0.25"/>
  <cols>
    <col min="1" max="1" width="13.5703125" bestFit="1" customWidth="1"/>
  </cols>
  <sheetData>
    <row r="2" spans="1:21" x14ac:dyDescent="0.25">
      <c r="A2" t="s">
        <v>50</v>
      </c>
    </row>
    <row r="3" spans="1:21" x14ac:dyDescent="0.25">
      <c r="C3" s="1"/>
    </row>
    <row r="4" spans="1:21" x14ac:dyDescent="0.25">
      <c r="C4" s="1"/>
      <c r="I4" s="1"/>
      <c r="U4" s="1"/>
    </row>
    <row r="5" spans="1:21" x14ac:dyDescent="0.25">
      <c r="A5" t="s">
        <v>49</v>
      </c>
      <c r="B5">
        <v>0.39280199999999998</v>
      </c>
      <c r="I5" s="1"/>
      <c r="U5" s="1"/>
    </row>
    <row r="6" spans="1:21" x14ac:dyDescent="0.25">
      <c r="A6" t="s">
        <v>8</v>
      </c>
      <c r="B6">
        <v>31</v>
      </c>
      <c r="C6" t="s">
        <v>9</v>
      </c>
    </row>
    <row r="7" spans="1:21" x14ac:dyDescent="0.25">
      <c r="A7" t="s">
        <v>8</v>
      </c>
      <c r="B7">
        <v>47</v>
      </c>
      <c r="C7" t="s">
        <v>9</v>
      </c>
    </row>
    <row r="8" spans="1:21" x14ac:dyDescent="0.25">
      <c r="A8" t="s">
        <v>8</v>
      </c>
      <c r="B8">
        <v>52</v>
      </c>
      <c r="C8" t="s">
        <v>9</v>
      </c>
    </row>
    <row r="9" spans="1:21" x14ac:dyDescent="0.25">
      <c r="A9" t="s">
        <v>8</v>
      </c>
      <c r="B9">
        <v>80</v>
      </c>
      <c r="C9" t="s">
        <v>9</v>
      </c>
    </row>
    <row r="10" spans="1:21" x14ac:dyDescent="0.25">
      <c r="A10" t="s">
        <v>8</v>
      </c>
      <c r="B10">
        <v>87</v>
      </c>
      <c r="C10" t="s">
        <v>9</v>
      </c>
    </row>
    <row r="11" spans="1:21" x14ac:dyDescent="0.25">
      <c r="A11" t="s">
        <v>8</v>
      </c>
      <c r="B11">
        <v>103</v>
      </c>
      <c r="C11" t="s">
        <v>9</v>
      </c>
    </row>
    <row r="12" spans="1:21" x14ac:dyDescent="0.25">
      <c r="A12" t="s">
        <v>8</v>
      </c>
      <c r="B12">
        <v>110</v>
      </c>
      <c r="C12" t="s">
        <v>9</v>
      </c>
    </row>
    <row r="13" spans="1:21" x14ac:dyDescent="0.25">
      <c r="A13" t="s">
        <v>8</v>
      </c>
      <c r="B13">
        <v>111</v>
      </c>
      <c r="C13" t="s">
        <v>9</v>
      </c>
    </row>
    <row r="14" spans="1:21" x14ac:dyDescent="0.25">
      <c r="A14" t="s">
        <v>8</v>
      </c>
      <c r="B14">
        <v>112</v>
      </c>
      <c r="C14" t="s">
        <v>9</v>
      </c>
    </row>
    <row r="15" spans="1:21" x14ac:dyDescent="0.25">
      <c r="A15" t="s">
        <v>8</v>
      </c>
      <c r="B15">
        <v>120</v>
      </c>
      <c r="C15" t="s">
        <v>9</v>
      </c>
    </row>
    <row r="16" spans="1:21" x14ac:dyDescent="0.25">
      <c r="A16" t="s">
        <v>8</v>
      </c>
      <c r="B16">
        <v>128</v>
      </c>
      <c r="C16" t="s">
        <v>9</v>
      </c>
    </row>
    <row r="17" spans="1:15" x14ac:dyDescent="0.25">
      <c r="A17" t="s">
        <v>8</v>
      </c>
      <c r="B17">
        <v>138</v>
      </c>
      <c r="C17" t="s">
        <v>9</v>
      </c>
    </row>
    <row r="18" spans="1:15" x14ac:dyDescent="0.25">
      <c r="A18" t="s">
        <v>8</v>
      </c>
      <c r="B18">
        <v>139</v>
      </c>
      <c r="C18" t="s">
        <v>9</v>
      </c>
    </row>
    <row r="20" spans="1:15" x14ac:dyDescent="0.25">
      <c r="O20" s="1"/>
    </row>
    <row r="21" spans="1:15" x14ac:dyDescent="0.25">
      <c r="O21" s="1"/>
    </row>
    <row r="22" spans="1:15" x14ac:dyDescent="0.25">
      <c r="A22" t="s">
        <v>15</v>
      </c>
      <c r="C22" s="1"/>
    </row>
    <row r="23" spans="1:15" x14ac:dyDescent="0.25">
      <c r="C23" s="1"/>
    </row>
    <row r="24" spans="1:15" x14ac:dyDescent="0.25">
      <c r="A24" t="s">
        <v>49</v>
      </c>
      <c r="B24">
        <v>0.38631300000000002</v>
      </c>
    </row>
    <row r="25" spans="1:15" x14ac:dyDescent="0.25">
      <c r="A25" t="s">
        <v>8</v>
      </c>
      <c r="B25">
        <v>24</v>
      </c>
      <c r="C25" t="s">
        <v>9</v>
      </c>
    </row>
    <row r="26" spans="1:15" x14ac:dyDescent="0.25">
      <c r="A26" t="s">
        <v>8</v>
      </c>
      <c r="B26">
        <v>31</v>
      </c>
      <c r="C26" t="s">
        <v>9</v>
      </c>
    </row>
    <row r="27" spans="1:15" x14ac:dyDescent="0.25">
      <c r="A27" t="s">
        <v>8</v>
      </c>
      <c r="B27">
        <v>47</v>
      </c>
      <c r="C27" t="s">
        <v>9</v>
      </c>
    </row>
    <row r="28" spans="1:15" x14ac:dyDescent="0.25">
      <c r="A28" t="s">
        <v>8</v>
      </c>
      <c r="B28">
        <v>52</v>
      </c>
      <c r="C28" t="s">
        <v>9</v>
      </c>
    </row>
    <row r="29" spans="1:15" x14ac:dyDescent="0.25">
      <c r="A29" t="s">
        <v>8</v>
      </c>
      <c r="B29">
        <v>80</v>
      </c>
      <c r="C29" t="s">
        <v>9</v>
      </c>
    </row>
    <row r="30" spans="1:15" x14ac:dyDescent="0.25">
      <c r="A30" t="s">
        <v>8</v>
      </c>
      <c r="B30">
        <v>87</v>
      </c>
      <c r="C30" t="s">
        <v>9</v>
      </c>
    </row>
    <row r="31" spans="1:15" x14ac:dyDescent="0.25">
      <c r="A31" t="s">
        <v>8</v>
      </c>
      <c r="B31">
        <v>103</v>
      </c>
      <c r="C31" t="s">
        <v>9</v>
      </c>
    </row>
    <row r="32" spans="1:15" x14ac:dyDescent="0.25">
      <c r="A32" t="s">
        <v>8</v>
      </c>
      <c r="B32">
        <v>110</v>
      </c>
      <c r="C32" t="s">
        <v>9</v>
      </c>
    </row>
    <row r="33" spans="1:15" x14ac:dyDescent="0.25">
      <c r="A33" t="s">
        <v>8</v>
      </c>
      <c r="B33">
        <v>111</v>
      </c>
      <c r="C33" t="s">
        <v>9</v>
      </c>
    </row>
    <row r="34" spans="1:15" x14ac:dyDescent="0.25">
      <c r="A34" t="s">
        <v>8</v>
      </c>
      <c r="B34">
        <v>112</v>
      </c>
      <c r="C34" t="s">
        <v>9</v>
      </c>
    </row>
    <row r="35" spans="1:15" x14ac:dyDescent="0.25">
      <c r="A35" t="s">
        <v>8</v>
      </c>
      <c r="B35">
        <v>117</v>
      </c>
      <c r="C35" t="s">
        <v>9</v>
      </c>
    </row>
    <row r="36" spans="1:15" x14ac:dyDescent="0.25">
      <c r="A36" t="s">
        <v>8</v>
      </c>
      <c r="B36">
        <v>120</v>
      </c>
      <c r="C36" t="s">
        <v>9</v>
      </c>
    </row>
    <row r="37" spans="1:15" x14ac:dyDescent="0.25">
      <c r="A37" t="s">
        <v>8</v>
      </c>
      <c r="B37">
        <v>128</v>
      </c>
      <c r="C37" t="s">
        <v>9</v>
      </c>
    </row>
    <row r="38" spans="1:15" x14ac:dyDescent="0.25">
      <c r="A38" t="s">
        <v>8</v>
      </c>
      <c r="B38">
        <v>136</v>
      </c>
      <c r="C38" t="s">
        <v>9</v>
      </c>
    </row>
    <row r="39" spans="1:15" x14ac:dyDescent="0.25">
      <c r="A39" t="s">
        <v>8</v>
      </c>
      <c r="B39">
        <v>138</v>
      </c>
      <c r="C39" t="s">
        <v>9</v>
      </c>
    </row>
    <row r="41" spans="1:15" x14ac:dyDescent="0.25">
      <c r="O41" s="1"/>
    </row>
    <row r="42" spans="1:15" x14ac:dyDescent="0.25">
      <c r="O42" s="1"/>
    </row>
    <row r="43" spans="1:15" x14ac:dyDescent="0.25">
      <c r="A43" t="s">
        <v>40</v>
      </c>
      <c r="C43" s="1"/>
    </row>
    <row r="44" spans="1:15" x14ac:dyDescent="0.25">
      <c r="C44" s="1"/>
    </row>
    <row r="45" spans="1:15" x14ac:dyDescent="0.25">
      <c r="A45" t="s">
        <v>49</v>
      </c>
      <c r="B45">
        <v>0.399393</v>
      </c>
    </row>
    <row r="46" spans="1:15" x14ac:dyDescent="0.25">
      <c r="A46" t="s">
        <v>8</v>
      </c>
      <c r="B46">
        <v>47</v>
      </c>
      <c r="C46" t="s">
        <v>9</v>
      </c>
    </row>
    <row r="47" spans="1:15" x14ac:dyDescent="0.25">
      <c r="A47" t="s">
        <v>8</v>
      </c>
      <c r="B47">
        <v>52</v>
      </c>
      <c r="C47" t="s">
        <v>9</v>
      </c>
    </row>
    <row r="48" spans="1:15" x14ac:dyDescent="0.25">
      <c r="A48" t="s">
        <v>8</v>
      </c>
      <c r="B48">
        <v>80</v>
      </c>
      <c r="C48" t="s">
        <v>9</v>
      </c>
    </row>
    <row r="49" spans="1:3" x14ac:dyDescent="0.25">
      <c r="A49" t="s">
        <v>8</v>
      </c>
      <c r="B49">
        <v>87</v>
      </c>
      <c r="C49" t="s">
        <v>9</v>
      </c>
    </row>
    <row r="50" spans="1:3" x14ac:dyDescent="0.25">
      <c r="A50" t="s">
        <v>8</v>
      </c>
      <c r="B50">
        <v>103</v>
      </c>
      <c r="C50" t="s">
        <v>9</v>
      </c>
    </row>
    <row r="51" spans="1:3" x14ac:dyDescent="0.25">
      <c r="A51" t="s">
        <v>8</v>
      </c>
      <c r="B51">
        <v>110</v>
      </c>
      <c r="C51" t="s">
        <v>9</v>
      </c>
    </row>
    <row r="52" spans="1:3" x14ac:dyDescent="0.25">
      <c r="A52" t="s">
        <v>8</v>
      </c>
      <c r="B52">
        <v>111</v>
      </c>
      <c r="C52" t="s">
        <v>9</v>
      </c>
    </row>
    <row r="53" spans="1:3" x14ac:dyDescent="0.25">
      <c r="A53" t="s">
        <v>8</v>
      </c>
      <c r="B53">
        <v>112</v>
      </c>
      <c r="C53" t="s">
        <v>9</v>
      </c>
    </row>
    <row r="54" spans="1:3" x14ac:dyDescent="0.25">
      <c r="A54" t="s">
        <v>8</v>
      </c>
      <c r="B54">
        <v>120</v>
      </c>
      <c r="C54" t="s">
        <v>9</v>
      </c>
    </row>
    <row r="55" spans="1:3" x14ac:dyDescent="0.25">
      <c r="A55" t="s">
        <v>8</v>
      </c>
      <c r="B55">
        <v>128</v>
      </c>
      <c r="C55" t="s">
        <v>9</v>
      </c>
    </row>
    <row r="56" spans="1:3" x14ac:dyDescent="0.25">
      <c r="A56" t="s">
        <v>8</v>
      </c>
      <c r="B56">
        <v>130</v>
      </c>
      <c r="C56" t="s">
        <v>9</v>
      </c>
    </row>
    <row r="57" spans="1:3" x14ac:dyDescent="0.25">
      <c r="A57" t="s">
        <v>8</v>
      </c>
      <c r="B57">
        <v>138</v>
      </c>
      <c r="C57" t="s">
        <v>9</v>
      </c>
    </row>
    <row r="58" spans="1:3" x14ac:dyDescent="0.25">
      <c r="A58" t="s">
        <v>8</v>
      </c>
      <c r="B58">
        <v>139</v>
      </c>
      <c r="C58" t="s">
        <v>9</v>
      </c>
    </row>
    <row r="70" spans="3:3" x14ac:dyDescent="0.25">
      <c r="C70" s="1"/>
    </row>
    <row r="71" spans="3:3" x14ac:dyDescent="0.25">
      <c r="C7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E1CF-886C-4CEC-8AB2-F7C5C245A9F3}">
  <dimension ref="A1:G193"/>
  <sheetViews>
    <sheetView workbookViewId="0">
      <selection activeCell="H15" sqref="H15"/>
    </sheetView>
  </sheetViews>
  <sheetFormatPr defaultRowHeight="15" x14ac:dyDescent="0.25"/>
  <cols>
    <col min="5" max="5" width="41.85546875" customWidth="1"/>
  </cols>
  <sheetData>
    <row r="1" spans="1:7" x14ac:dyDescent="0.25">
      <c r="A1" t="s">
        <v>60</v>
      </c>
      <c r="B1" t="s">
        <v>0</v>
      </c>
      <c r="C1" t="s">
        <v>61</v>
      </c>
      <c r="D1" t="s">
        <v>62</v>
      </c>
      <c r="E1" t="s">
        <v>52</v>
      </c>
      <c r="F1" t="s">
        <v>63</v>
      </c>
      <c r="G1" t="s">
        <v>64</v>
      </c>
    </row>
    <row r="2" spans="1:7" x14ac:dyDescent="0.25">
      <c r="A2">
        <v>2</v>
      </c>
      <c r="B2">
        <v>4</v>
      </c>
      <c r="C2">
        <v>16</v>
      </c>
      <c r="D2">
        <v>1503</v>
      </c>
      <c r="E2" t="s">
        <v>69</v>
      </c>
      <c r="F2">
        <v>0.78949800000000003</v>
      </c>
      <c r="G2">
        <v>2</v>
      </c>
    </row>
    <row r="3" spans="1:7" x14ac:dyDescent="0.25">
      <c r="A3">
        <v>2</v>
      </c>
      <c r="B3">
        <v>4</v>
      </c>
      <c r="C3">
        <v>16</v>
      </c>
      <c r="D3">
        <v>1503</v>
      </c>
      <c r="E3" t="s">
        <v>69</v>
      </c>
      <c r="F3">
        <v>0.638409</v>
      </c>
      <c r="G3">
        <v>3</v>
      </c>
    </row>
    <row r="4" spans="1:7" x14ac:dyDescent="0.25">
      <c r="A4">
        <v>2</v>
      </c>
      <c r="B4">
        <v>4</v>
      </c>
      <c r="C4">
        <v>16</v>
      </c>
      <c r="D4">
        <v>1503</v>
      </c>
      <c r="E4" t="s">
        <v>69</v>
      </c>
      <c r="F4">
        <v>0.58730199999999999</v>
      </c>
      <c r="G4">
        <v>4</v>
      </c>
    </row>
    <row r="5" spans="1:7" x14ac:dyDescent="0.25">
      <c r="A5">
        <v>2</v>
      </c>
      <c r="B5">
        <v>4</v>
      </c>
      <c r="C5">
        <v>16</v>
      </c>
      <c r="D5">
        <v>1503</v>
      </c>
      <c r="E5" t="s">
        <v>69</v>
      </c>
      <c r="F5">
        <v>0.54333299999999995</v>
      </c>
      <c r="G5">
        <v>5</v>
      </c>
    </row>
    <row r="6" spans="1:7" x14ac:dyDescent="0.25">
      <c r="A6">
        <v>2</v>
      </c>
      <c r="B6">
        <v>4</v>
      </c>
      <c r="C6">
        <v>16</v>
      </c>
      <c r="D6">
        <v>1503</v>
      </c>
      <c r="E6" t="s">
        <v>69</v>
      </c>
      <c r="F6">
        <v>0.49675399999999997</v>
      </c>
      <c r="G6">
        <v>6</v>
      </c>
    </row>
    <row r="7" spans="1:7" x14ac:dyDescent="0.25">
      <c r="A7">
        <v>2</v>
      </c>
      <c r="B7">
        <v>4</v>
      </c>
      <c r="C7">
        <v>16</v>
      </c>
      <c r="D7">
        <v>1503</v>
      </c>
      <c r="E7" t="s">
        <v>69</v>
      </c>
      <c r="F7">
        <v>0.47932799999999998</v>
      </c>
      <c r="G7">
        <v>7</v>
      </c>
    </row>
    <row r="8" spans="1:7" x14ac:dyDescent="0.25">
      <c r="A8">
        <v>2</v>
      </c>
      <c r="B8">
        <v>4</v>
      </c>
      <c r="C8">
        <v>16</v>
      </c>
      <c r="D8">
        <v>1503</v>
      </c>
      <c r="E8" t="s">
        <v>69</v>
      </c>
      <c r="F8">
        <v>0.43692599999999998</v>
      </c>
      <c r="G8">
        <v>9</v>
      </c>
    </row>
    <row r="9" spans="1:7" x14ac:dyDescent="0.25">
      <c r="A9">
        <v>2</v>
      </c>
      <c r="B9">
        <v>4</v>
      </c>
      <c r="C9">
        <v>16</v>
      </c>
      <c r="D9">
        <v>1503</v>
      </c>
      <c r="E9" t="s">
        <v>69</v>
      </c>
      <c r="F9">
        <v>0.417049</v>
      </c>
      <c r="G9">
        <v>10</v>
      </c>
    </row>
    <row r="10" spans="1:7" x14ac:dyDescent="0.25">
      <c r="A10">
        <v>2</v>
      </c>
      <c r="B10">
        <v>4</v>
      </c>
      <c r="C10">
        <v>16</v>
      </c>
      <c r="D10">
        <v>1503</v>
      </c>
      <c r="E10" t="s">
        <v>69</v>
      </c>
      <c r="F10">
        <v>0.40031800000000001</v>
      </c>
      <c r="G10">
        <v>11</v>
      </c>
    </row>
    <row r="11" spans="1:7" x14ac:dyDescent="0.25">
      <c r="A11">
        <v>2</v>
      </c>
      <c r="B11">
        <v>4</v>
      </c>
      <c r="C11">
        <v>16</v>
      </c>
      <c r="D11">
        <v>1503</v>
      </c>
      <c r="E11" t="s">
        <v>69</v>
      </c>
      <c r="F11">
        <v>0.37999100000000002</v>
      </c>
      <c r="G11">
        <v>13</v>
      </c>
    </row>
    <row r="12" spans="1:7" x14ac:dyDescent="0.25">
      <c r="A12">
        <v>2</v>
      </c>
      <c r="B12">
        <v>4</v>
      </c>
      <c r="C12">
        <v>16</v>
      </c>
      <c r="D12">
        <v>1503</v>
      </c>
      <c r="E12" t="s">
        <v>69</v>
      </c>
      <c r="F12">
        <v>0.37187199999999998</v>
      </c>
      <c r="G12">
        <v>14</v>
      </c>
    </row>
    <row r="13" spans="1:7" x14ac:dyDescent="0.25">
      <c r="A13">
        <v>2</v>
      </c>
      <c r="B13">
        <v>4</v>
      </c>
      <c r="C13">
        <v>16</v>
      </c>
      <c r="D13">
        <v>1503</v>
      </c>
      <c r="E13" t="s">
        <v>69</v>
      </c>
      <c r="F13">
        <v>0.36399500000000001</v>
      </c>
      <c r="G13">
        <v>15</v>
      </c>
    </row>
    <row r="14" spans="1:7" x14ac:dyDescent="0.25">
      <c r="A14">
        <v>2</v>
      </c>
      <c r="B14">
        <v>4</v>
      </c>
      <c r="C14">
        <v>16</v>
      </c>
      <c r="D14">
        <v>1503</v>
      </c>
      <c r="E14" t="s">
        <v>69</v>
      </c>
      <c r="F14">
        <v>0.362458</v>
      </c>
      <c r="G14">
        <v>16</v>
      </c>
    </row>
    <row r="15" spans="1:7" x14ac:dyDescent="0.25">
      <c r="A15">
        <v>2</v>
      </c>
      <c r="B15">
        <v>4</v>
      </c>
      <c r="C15">
        <v>16</v>
      </c>
      <c r="D15">
        <v>1503</v>
      </c>
      <c r="E15" t="s">
        <v>69</v>
      </c>
      <c r="F15">
        <v>0.35202299999999997</v>
      </c>
      <c r="G15">
        <v>18</v>
      </c>
    </row>
    <row r="16" spans="1:7" x14ac:dyDescent="0.25">
      <c r="A16">
        <v>2</v>
      </c>
      <c r="B16">
        <v>4</v>
      </c>
      <c r="C16">
        <v>16</v>
      </c>
      <c r="D16">
        <v>1503</v>
      </c>
      <c r="E16" t="s">
        <v>69</v>
      </c>
      <c r="F16">
        <v>0.35103699999999999</v>
      </c>
      <c r="G16">
        <v>19</v>
      </c>
    </row>
    <row r="17" spans="1:7" x14ac:dyDescent="0.25">
      <c r="A17">
        <v>2</v>
      </c>
      <c r="B17">
        <v>4</v>
      </c>
      <c r="C17">
        <v>16</v>
      </c>
      <c r="D17">
        <v>1503</v>
      </c>
      <c r="E17" t="s">
        <v>69</v>
      </c>
      <c r="F17">
        <v>0.34799099999999999</v>
      </c>
      <c r="G17">
        <v>20</v>
      </c>
    </row>
    <row r="18" spans="1:7" x14ac:dyDescent="0.25">
      <c r="A18">
        <v>2</v>
      </c>
      <c r="B18">
        <v>4</v>
      </c>
      <c r="C18">
        <v>16</v>
      </c>
      <c r="D18">
        <v>1503</v>
      </c>
      <c r="E18" t="s">
        <v>69</v>
      </c>
      <c r="F18">
        <v>0.45796999999999999</v>
      </c>
      <c r="G18">
        <v>8</v>
      </c>
    </row>
    <row r="19" spans="1:7" x14ac:dyDescent="0.25">
      <c r="A19">
        <v>2</v>
      </c>
      <c r="B19">
        <v>4</v>
      </c>
      <c r="C19">
        <v>16</v>
      </c>
      <c r="D19">
        <v>1503</v>
      </c>
      <c r="E19" t="s">
        <v>69</v>
      </c>
      <c r="F19">
        <v>0.38692799999999999</v>
      </c>
      <c r="G19">
        <v>12</v>
      </c>
    </row>
    <row r="20" spans="1:7" x14ac:dyDescent="0.25">
      <c r="A20">
        <v>2</v>
      </c>
      <c r="B20">
        <v>4</v>
      </c>
      <c r="C20">
        <v>16</v>
      </c>
      <c r="D20">
        <v>1503</v>
      </c>
      <c r="E20" t="s">
        <v>69</v>
      </c>
      <c r="F20">
        <v>0.35575200000000001</v>
      </c>
      <c r="G20">
        <v>17</v>
      </c>
    </row>
    <row r="21" spans="1:7" x14ac:dyDescent="0.25">
      <c r="A21">
        <v>2</v>
      </c>
      <c r="B21">
        <v>4</v>
      </c>
      <c r="C21">
        <v>16</v>
      </c>
      <c r="D21">
        <v>1695</v>
      </c>
      <c r="E21" t="s">
        <v>68</v>
      </c>
      <c r="F21">
        <v>0.79215999999999998</v>
      </c>
      <c r="G21">
        <v>2</v>
      </c>
    </row>
    <row r="22" spans="1:7" x14ac:dyDescent="0.25">
      <c r="A22">
        <v>2</v>
      </c>
      <c r="B22">
        <v>4</v>
      </c>
      <c r="C22">
        <v>16</v>
      </c>
      <c r="D22">
        <v>1695</v>
      </c>
      <c r="E22" t="s">
        <v>68</v>
      </c>
      <c r="F22">
        <v>0.65189799999999998</v>
      </c>
      <c r="G22">
        <v>3</v>
      </c>
    </row>
    <row r="23" spans="1:7" x14ac:dyDescent="0.25">
      <c r="A23">
        <v>2</v>
      </c>
      <c r="B23">
        <v>4</v>
      </c>
      <c r="C23">
        <v>16</v>
      </c>
      <c r="D23">
        <v>1695</v>
      </c>
      <c r="E23" t="s">
        <v>68</v>
      </c>
      <c r="F23">
        <v>0.58448999999999995</v>
      </c>
      <c r="G23">
        <v>4</v>
      </c>
    </row>
    <row r="24" spans="1:7" x14ac:dyDescent="0.25">
      <c r="A24">
        <v>2</v>
      </c>
      <c r="B24">
        <v>4</v>
      </c>
      <c r="C24">
        <v>16</v>
      </c>
      <c r="D24">
        <v>1695</v>
      </c>
      <c r="E24" t="s">
        <v>68</v>
      </c>
      <c r="F24">
        <v>0.54236799999999996</v>
      </c>
      <c r="G24">
        <v>5</v>
      </c>
    </row>
    <row r="25" spans="1:7" x14ac:dyDescent="0.25">
      <c r="A25">
        <v>2</v>
      </c>
      <c r="B25">
        <v>4</v>
      </c>
      <c r="C25">
        <v>16</v>
      </c>
      <c r="D25">
        <v>1695</v>
      </c>
      <c r="E25" t="s">
        <v>68</v>
      </c>
      <c r="F25">
        <v>0.50732500000000003</v>
      </c>
      <c r="G25">
        <v>6</v>
      </c>
    </row>
    <row r="26" spans="1:7" x14ac:dyDescent="0.25">
      <c r="A26">
        <v>2</v>
      </c>
      <c r="B26">
        <v>4</v>
      </c>
      <c r="C26">
        <v>16</v>
      </c>
      <c r="D26">
        <v>1695</v>
      </c>
      <c r="E26" t="s">
        <v>68</v>
      </c>
      <c r="F26">
        <v>0.47982900000000001</v>
      </c>
      <c r="G26">
        <v>7</v>
      </c>
    </row>
    <row r="27" spans="1:7" x14ac:dyDescent="0.25">
      <c r="A27">
        <v>2</v>
      </c>
      <c r="B27">
        <v>4</v>
      </c>
      <c r="C27">
        <v>16</v>
      </c>
      <c r="D27">
        <v>1695</v>
      </c>
      <c r="E27" t="s">
        <v>68</v>
      </c>
      <c r="F27">
        <v>0.45261600000000002</v>
      </c>
      <c r="G27">
        <v>8</v>
      </c>
    </row>
    <row r="28" spans="1:7" x14ac:dyDescent="0.25">
      <c r="A28">
        <v>2</v>
      </c>
      <c r="B28">
        <v>4</v>
      </c>
      <c r="C28">
        <v>16</v>
      </c>
      <c r="D28">
        <v>1695</v>
      </c>
      <c r="E28" t="s">
        <v>68</v>
      </c>
      <c r="F28">
        <v>0.43545200000000001</v>
      </c>
      <c r="G28">
        <v>9</v>
      </c>
    </row>
    <row r="29" spans="1:7" x14ac:dyDescent="0.25">
      <c r="A29">
        <v>2</v>
      </c>
      <c r="B29">
        <v>4</v>
      </c>
      <c r="C29">
        <v>16</v>
      </c>
      <c r="D29">
        <v>1695</v>
      </c>
      <c r="E29" t="s">
        <v>68</v>
      </c>
      <c r="F29">
        <v>0.41883399999999998</v>
      </c>
      <c r="G29">
        <v>10</v>
      </c>
    </row>
    <row r="30" spans="1:7" x14ac:dyDescent="0.25">
      <c r="A30">
        <v>2</v>
      </c>
      <c r="B30">
        <v>4</v>
      </c>
      <c r="C30">
        <v>16</v>
      </c>
      <c r="D30">
        <v>1695</v>
      </c>
      <c r="E30" t="s">
        <v>68</v>
      </c>
      <c r="F30">
        <v>0.40477099999999999</v>
      </c>
      <c r="G30">
        <v>11</v>
      </c>
    </row>
    <row r="31" spans="1:7" x14ac:dyDescent="0.25">
      <c r="A31">
        <v>2</v>
      </c>
      <c r="B31">
        <v>4</v>
      </c>
      <c r="C31">
        <v>16</v>
      </c>
      <c r="D31">
        <v>1695</v>
      </c>
      <c r="E31" t="s">
        <v>68</v>
      </c>
      <c r="F31">
        <v>0.37755899999999998</v>
      </c>
      <c r="G31">
        <v>15</v>
      </c>
    </row>
    <row r="32" spans="1:7" x14ac:dyDescent="0.25">
      <c r="A32">
        <v>2</v>
      </c>
      <c r="B32">
        <v>4</v>
      </c>
      <c r="C32">
        <v>16</v>
      </c>
      <c r="D32">
        <v>1695</v>
      </c>
      <c r="E32" t="s">
        <v>68</v>
      </c>
      <c r="F32">
        <v>0.37486599999999998</v>
      </c>
      <c r="G32">
        <v>16</v>
      </c>
    </row>
    <row r="33" spans="1:7" x14ac:dyDescent="0.25">
      <c r="A33">
        <v>2</v>
      </c>
      <c r="B33">
        <v>4</v>
      </c>
      <c r="C33">
        <v>16</v>
      </c>
      <c r="D33">
        <v>1695</v>
      </c>
      <c r="E33" t="s">
        <v>68</v>
      </c>
      <c r="F33">
        <v>0.37057899999999999</v>
      </c>
      <c r="G33">
        <v>17</v>
      </c>
    </row>
    <row r="34" spans="1:7" x14ac:dyDescent="0.25">
      <c r="A34">
        <v>2</v>
      </c>
      <c r="B34">
        <v>4</v>
      </c>
      <c r="C34">
        <v>16</v>
      </c>
      <c r="D34">
        <v>1695</v>
      </c>
      <c r="E34" t="s">
        <v>68</v>
      </c>
      <c r="F34">
        <v>0.36693599999999998</v>
      </c>
      <c r="G34">
        <v>18</v>
      </c>
    </row>
    <row r="35" spans="1:7" x14ac:dyDescent="0.25">
      <c r="A35">
        <v>2</v>
      </c>
      <c r="B35">
        <v>4</v>
      </c>
      <c r="C35">
        <v>16</v>
      </c>
      <c r="D35">
        <v>1695</v>
      </c>
      <c r="E35" t="s">
        <v>68</v>
      </c>
      <c r="F35">
        <v>0.36405799999999999</v>
      </c>
      <c r="G35">
        <v>19</v>
      </c>
    </row>
    <row r="36" spans="1:7" x14ac:dyDescent="0.25">
      <c r="A36">
        <v>2</v>
      </c>
      <c r="B36">
        <v>4</v>
      </c>
      <c r="C36">
        <v>16</v>
      </c>
      <c r="D36">
        <v>1695</v>
      </c>
      <c r="E36" t="s">
        <v>68</v>
      </c>
      <c r="F36">
        <v>0.36098799999999998</v>
      </c>
      <c r="G36">
        <v>20</v>
      </c>
    </row>
    <row r="37" spans="1:7" x14ac:dyDescent="0.25">
      <c r="A37">
        <v>2</v>
      </c>
      <c r="B37">
        <v>4</v>
      </c>
      <c r="C37">
        <v>16</v>
      </c>
      <c r="D37">
        <v>1695</v>
      </c>
      <c r="E37" t="s">
        <v>68</v>
      </c>
      <c r="F37">
        <v>0.39666099999999999</v>
      </c>
      <c r="G37">
        <v>12</v>
      </c>
    </row>
    <row r="38" spans="1:7" x14ac:dyDescent="0.25">
      <c r="A38">
        <v>2</v>
      </c>
      <c r="B38">
        <v>4</v>
      </c>
      <c r="C38">
        <v>16</v>
      </c>
      <c r="D38">
        <v>1695</v>
      </c>
      <c r="E38" t="s">
        <v>68</v>
      </c>
      <c r="F38">
        <v>0.38941999999999999</v>
      </c>
      <c r="G38">
        <v>13</v>
      </c>
    </row>
    <row r="39" spans="1:7" x14ac:dyDescent="0.25">
      <c r="A39">
        <v>2</v>
      </c>
      <c r="B39">
        <v>4</v>
      </c>
      <c r="C39">
        <v>16</v>
      </c>
      <c r="D39">
        <v>1695</v>
      </c>
      <c r="E39" t="s">
        <v>68</v>
      </c>
      <c r="F39">
        <v>0.38384099999999999</v>
      </c>
      <c r="G39">
        <v>14</v>
      </c>
    </row>
    <row r="40" spans="1:7" x14ac:dyDescent="0.25">
      <c r="A40">
        <v>2</v>
      </c>
      <c r="B40">
        <v>4</v>
      </c>
      <c r="C40">
        <v>16</v>
      </c>
      <c r="D40">
        <v>744</v>
      </c>
      <c r="E40" t="s">
        <v>65</v>
      </c>
      <c r="F40">
        <v>0.75153099999999995</v>
      </c>
      <c r="G40">
        <v>2</v>
      </c>
    </row>
    <row r="41" spans="1:7" x14ac:dyDescent="0.25">
      <c r="A41">
        <v>2</v>
      </c>
      <c r="B41">
        <v>4</v>
      </c>
      <c r="C41">
        <v>16</v>
      </c>
      <c r="D41">
        <v>744</v>
      </c>
      <c r="E41" t="s">
        <v>65</v>
      </c>
      <c r="F41">
        <v>0.54671499999999995</v>
      </c>
      <c r="G41">
        <v>3</v>
      </c>
    </row>
    <row r="42" spans="1:7" x14ac:dyDescent="0.25">
      <c r="A42">
        <v>2</v>
      </c>
      <c r="B42">
        <v>4</v>
      </c>
      <c r="C42">
        <v>16</v>
      </c>
      <c r="D42">
        <v>744</v>
      </c>
      <c r="E42" t="s">
        <v>65</v>
      </c>
      <c r="F42">
        <v>0.49748599999999998</v>
      </c>
      <c r="G42">
        <v>4</v>
      </c>
    </row>
    <row r="43" spans="1:7" x14ac:dyDescent="0.25">
      <c r="A43">
        <v>2</v>
      </c>
      <c r="B43">
        <v>4</v>
      </c>
      <c r="C43">
        <v>16</v>
      </c>
      <c r="D43">
        <v>744</v>
      </c>
      <c r="E43" t="s">
        <v>65</v>
      </c>
      <c r="F43">
        <v>0.461814</v>
      </c>
      <c r="G43">
        <v>5</v>
      </c>
    </row>
    <row r="44" spans="1:7" x14ac:dyDescent="0.25">
      <c r="A44">
        <v>2</v>
      </c>
      <c r="B44">
        <v>4</v>
      </c>
      <c r="C44">
        <v>16</v>
      </c>
      <c r="D44">
        <v>744</v>
      </c>
      <c r="E44" t="s">
        <v>65</v>
      </c>
      <c r="F44">
        <v>0.42262100000000002</v>
      </c>
      <c r="G44">
        <v>6</v>
      </c>
    </row>
    <row r="45" spans="1:7" x14ac:dyDescent="0.25">
      <c r="A45">
        <v>2</v>
      </c>
      <c r="B45">
        <v>4</v>
      </c>
      <c r="C45">
        <v>16</v>
      </c>
      <c r="D45">
        <v>744</v>
      </c>
      <c r="E45" t="s">
        <v>65</v>
      </c>
      <c r="F45">
        <v>0.40387899999999999</v>
      </c>
      <c r="G45">
        <v>7</v>
      </c>
    </row>
    <row r="46" spans="1:7" x14ac:dyDescent="0.25">
      <c r="A46">
        <v>2</v>
      </c>
      <c r="B46">
        <v>4</v>
      </c>
      <c r="C46">
        <v>16</v>
      </c>
      <c r="D46">
        <v>744</v>
      </c>
      <c r="E46" t="s">
        <v>65</v>
      </c>
      <c r="F46">
        <v>0.387575</v>
      </c>
      <c r="G46">
        <v>8</v>
      </c>
    </row>
    <row r="47" spans="1:7" x14ac:dyDescent="0.25">
      <c r="A47">
        <v>2</v>
      </c>
      <c r="B47">
        <v>4</v>
      </c>
      <c r="C47">
        <v>16</v>
      </c>
      <c r="D47">
        <v>744</v>
      </c>
      <c r="E47" t="s">
        <v>65</v>
      </c>
      <c r="F47">
        <v>0.37314999999999998</v>
      </c>
      <c r="G47">
        <v>9</v>
      </c>
    </row>
    <row r="48" spans="1:7" x14ac:dyDescent="0.25">
      <c r="A48">
        <v>2</v>
      </c>
      <c r="B48">
        <v>4</v>
      </c>
      <c r="C48">
        <v>16</v>
      </c>
      <c r="D48">
        <v>744</v>
      </c>
      <c r="E48" t="s">
        <v>65</v>
      </c>
      <c r="F48">
        <v>0.35992000000000002</v>
      </c>
      <c r="G48">
        <v>10</v>
      </c>
    </row>
    <row r="49" spans="1:7" x14ac:dyDescent="0.25">
      <c r="A49">
        <v>2</v>
      </c>
      <c r="B49">
        <v>4</v>
      </c>
      <c r="C49">
        <v>16</v>
      </c>
      <c r="D49">
        <v>744</v>
      </c>
      <c r="E49" t="s">
        <v>65</v>
      </c>
      <c r="F49">
        <v>0.35327500000000001</v>
      </c>
      <c r="G49">
        <v>11</v>
      </c>
    </row>
    <row r="50" spans="1:7" x14ac:dyDescent="0.25">
      <c r="A50">
        <v>2</v>
      </c>
      <c r="B50">
        <v>4</v>
      </c>
      <c r="C50">
        <v>16</v>
      </c>
      <c r="D50">
        <v>744</v>
      </c>
      <c r="E50" t="s">
        <v>65</v>
      </c>
      <c r="F50">
        <v>0.349138</v>
      </c>
      <c r="G50">
        <v>12</v>
      </c>
    </row>
    <row r="51" spans="1:7" x14ac:dyDescent="0.25">
      <c r="A51">
        <v>2</v>
      </c>
      <c r="B51">
        <v>4</v>
      </c>
      <c r="C51">
        <v>16</v>
      </c>
      <c r="D51">
        <v>744</v>
      </c>
      <c r="E51" t="s">
        <v>65</v>
      </c>
      <c r="F51">
        <v>0.34487800000000002</v>
      </c>
      <c r="G51">
        <v>13</v>
      </c>
    </row>
    <row r="52" spans="1:7" x14ac:dyDescent="0.25">
      <c r="A52">
        <v>2</v>
      </c>
      <c r="B52">
        <v>4</v>
      </c>
      <c r="C52">
        <v>16</v>
      </c>
      <c r="D52">
        <v>744</v>
      </c>
      <c r="E52" t="s">
        <v>65</v>
      </c>
      <c r="F52">
        <v>0.340918</v>
      </c>
      <c r="G52">
        <v>14</v>
      </c>
    </row>
    <row r="53" spans="1:7" x14ac:dyDescent="0.25">
      <c r="A53">
        <v>2</v>
      </c>
      <c r="B53">
        <v>4</v>
      </c>
      <c r="C53">
        <v>16</v>
      </c>
      <c r="D53">
        <v>744</v>
      </c>
      <c r="E53" t="s">
        <v>65</v>
      </c>
      <c r="F53">
        <v>0.33738099999999999</v>
      </c>
      <c r="G53">
        <v>15</v>
      </c>
    </row>
    <row r="54" spans="1:7" x14ac:dyDescent="0.25">
      <c r="A54">
        <v>2</v>
      </c>
      <c r="B54">
        <v>4</v>
      </c>
      <c r="C54">
        <v>16</v>
      </c>
      <c r="D54">
        <v>744</v>
      </c>
      <c r="E54" t="s">
        <v>65</v>
      </c>
      <c r="F54">
        <v>0.33478599999999997</v>
      </c>
      <c r="G54">
        <v>16</v>
      </c>
    </row>
    <row r="55" spans="1:7" x14ac:dyDescent="0.25">
      <c r="A55">
        <v>2</v>
      </c>
      <c r="B55">
        <v>4</v>
      </c>
      <c r="C55">
        <v>16</v>
      </c>
      <c r="D55">
        <v>744</v>
      </c>
      <c r="E55" t="s">
        <v>65</v>
      </c>
      <c r="F55">
        <v>0.33231100000000002</v>
      </c>
      <c r="G55">
        <v>17</v>
      </c>
    </row>
    <row r="56" spans="1:7" x14ac:dyDescent="0.25">
      <c r="A56">
        <v>2</v>
      </c>
      <c r="B56">
        <v>4</v>
      </c>
      <c r="C56">
        <v>16</v>
      </c>
      <c r="D56">
        <v>744</v>
      </c>
      <c r="E56" t="s">
        <v>65</v>
      </c>
      <c r="F56">
        <v>0.33019100000000001</v>
      </c>
      <c r="G56">
        <v>18</v>
      </c>
    </row>
    <row r="57" spans="1:7" x14ac:dyDescent="0.25">
      <c r="A57">
        <v>2</v>
      </c>
      <c r="B57">
        <v>4</v>
      </c>
      <c r="C57">
        <v>16</v>
      </c>
      <c r="D57">
        <v>744</v>
      </c>
      <c r="E57" t="s">
        <v>65</v>
      </c>
      <c r="F57">
        <v>0.328513</v>
      </c>
      <c r="G57">
        <v>19</v>
      </c>
    </row>
    <row r="58" spans="1:7" x14ac:dyDescent="0.25">
      <c r="A58">
        <v>2</v>
      </c>
      <c r="B58">
        <v>4</v>
      </c>
      <c r="C58">
        <v>16</v>
      </c>
      <c r="D58">
        <v>744</v>
      </c>
      <c r="E58" t="s">
        <v>65</v>
      </c>
      <c r="F58">
        <v>0.32707599999999998</v>
      </c>
      <c r="G58">
        <v>20</v>
      </c>
    </row>
    <row r="59" spans="1:7" x14ac:dyDescent="0.25">
      <c r="A59">
        <v>2</v>
      </c>
      <c r="B59">
        <v>4</v>
      </c>
      <c r="C59">
        <v>16</v>
      </c>
      <c r="D59">
        <v>959</v>
      </c>
      <c r="E59" t="s">
        <v>66</v>
      </c>
      <c r="F59">
        <v>0.78257399999999999</v>
      </c>
      <c r="G59">
        <v>2</v>
      </c>
    </row>
    <row r="60" spans="1:7" x14ac:dyDescent="0.25">
      <c r="A60">
        <v>2</v>
      </c>
      <c r="B60">
        <v>4</v>
      </c>
      <c r="C60">
        <v>16</v>
      </c>
      <c r="D60">
        <v>959</v>
      </c>
      <c r="E60" t="s">
        <v>66</v>
      </c>
      <c r="F60">
        <v>0.65959599999999996</v>
      </c>
      <c r="G60">
        <v>3</v>
      </c>
    </row>
    <row r="61" spans="1:7" x14ac:dyDescent="0.25">
      <c r="A61">
        <v>2</v>
      </c>
      <c r="B61">
        <v>4</v>
      </c>
      <c r="C61">
        <v>16</v>
      </c>
      <c r="D61">
        <v>959</v>
      </c>
      <c r="E61" t="s">
        <v>66</v>
      </c>
      <c r="F61">
        <v>0.57850100000000004</v>
      </c>
      <c r="G61">
        <v>4</v>
      </c>
    </row>
    <row r="62" spans="1:7" x14ac:dyDescent="0.25">
      <c r="A62">
        <v>2</v>
      </c>
      <c r="B62">
        <v>4</v>
      </c>
      <c r="C62">
        <v>16</v>
      </c>
      <c r="D62">
        <v>959</v>
      </c>
      <c r="E62" t="s">
        <v>66</v>
      </c>
      <c r="F62">
        <v>0.53082099999999999</v>
      </c>
      <c r="G62">
        <v>5</v>
      </c>
    </row>
    <row r="63" spans="1:7" x14ac:dyDescent="0.25">
      <c r="A63">
        <v>2</v>
      </c>
      <c r="B63">
        <v>4</v>
      </c>
      <c r="C63">
        <v>16</v>
      </c>
      <c r="D63">
        <v>959</v>
      </c>
      <c r="E63" t="s">
        <v>66</v>
      </c>
      <c r="F63">
        <v>0.49870999999999999</v>
      </c>
      <c r="G63">
        <v>6</v>
      </c>
    </row>
    <row r="64" spans="1:7" x14ac:dyDescent="0.25">
      <c r="A64">
        <v>2</v>
      </c>
      <c r="B64">
        <v>4</v>
      </c>
      <c r="C64">
        <v>16</v>
      </c>
      <c r="D64">
        <v>959</v>
      </c>
      <c r="E64" t="s">
        <v>66</v>
      </c>
      <c r="F64">
        <v>0.47870200000000002</v>
      </c>
      <c r="G64">
        <v>7</v>
      </c>
    </row>
    <row r="65" spans="1:7" x14ac:dyDescent="0.25">
      <c r="A65">
        <v>2</v>
      </c>
      <c r="B65">
        <v>4</v>
      </c>
      <c r="C65">
        <v>16</v>
      </c>
      <c r="D65">
        <v>959</v>
      </c>
      <c r="E65" t="s">
        <v>66</v>
      </c>
      <c r="F65">
        <v>0.46051900000000001</v>
      </c>
      <c r="G65">
        <v>8</v>
      </c>
    </row>
    <row r="66" spans="1:7" x14ac:dyDescent="0.25">
      <c r="A66">
        <v>2</v>
      </c>
      <c r="B66">
        <v>4</v>
      </c>
      <c r="C66">
        <v>16</v>
      </c>
      <c r="D66">
        <v>959</v>
      </c>
      <c r="E66" t="s">
        <v>66</v>
      </c>
      <c r="F66">
        <v>0.44621899999999998</v>
      </c>
      <c r="G66">
        <v>9</v>
      </c>
    </row>
    <row r="67" spans="1:7" x14ac:dyDescent="0.25">
      <c r="A67">
        <v>2</v>
      </c>
      <c r="B67">
        <v>4</v>
      </c>
      <c r="C67">
        <v>16</v>
      </c>
      <c r="D67">
        <v>959</v>
      </c>
      <c r="E67" t="s">
        <v>66</v>
      </c>
      <c r="F67">
        <v>0.43156299999999997</v>
      </c>
      <c r="G67">
        <v>10</v>
      </c>
    </row>
    <row r="68" spans="1:7" x14ac:dyDescent="0.25">
      <c r="A68">
        <v>2</v>
      </c>
      <c r="B68">
        <v>4</v>
      </c>
      <c r="C68">
        <v>16</v>
      </c>
      <c r="D68">
        <v>959</v>
      </c>
      <c r="E68" t="s">
        <v>66</v>
      </c>
      <c r="F68">
        <v>0.42316199999999998</v>
      </c>
      <c r="G68">
        <v>11</v>
      </c>
    </row>
    <row r="69" spans="1:7" x14ac:dyDescent="0.25">
      <c r="A69">
        <v>2</v>
      </c>
      <c r="B69">
        <v>4</v>
      </c>
      <c r="C69">
        <v>16</v>
      </c>
      <c r="D69">
        <v>959</v>
      </c>
      <c r="E69" t="s">
        <v>66</v>
      </c>
      <c r="F69">
        <v>0.41803899999999999</v>
      </c>
      <c r="G69">
        <v>12</v>
      </c>
    </row>
    <row r="70" spans="1:7" x14ac:dyDescent="0.25">
      <c r="A70">
        <v>2</v>
      </c>
      <c r="B70">
        <v>4</v>
      </c>
      <c r="C70">
        <v>16</v>
      </c>
      <c r="D70">
        <v>959</v>
      </c>
      <c r="E70" t="s">
        <v>66</v>
      </c>
      <c r="F70">
        <v>0.41304099999999999</v>
      </c>
      <c r="G70">
        <v>13</v>
      </c>
    </row>
    <row r="71" spans="1:7" x14ac:dyDescent="0.25">
      <c r="A71">
        <v>2</v>
      </c>
      <c r="B71">
        <v>4</v>
      </c>
      <c r="C71">
        <v>16</v>
      </c>
      <c r="D71">
        <v>959</v>
      </c>
      <c r="E71" t="s">
        <v>66</v>
      </c>
      <c r="F71">
        <v>0.40842000000000001</v>
      </c>
      <c r="G71">
        <v>14</v>
      </c>
    </row>
    <row r="72" spans="1:7" x14ac:dyDescent="0.25">
      <c r="A72">
        <v>2</v>
      </c>
      <c r="B72">
        <v>4</v>
      </c>
      <c r="C72">
        <v>16</v>
      </c>
      <c r="D72">
        <v>959</v>
      </c>
      <c r="E72" t="s">
        <v>66</v>
      </c>
      <c r="F72">
        <v>0.40229199999999998</v>
      </c>
      <c r="G72">
        <v>15</v>
      </c>
    </row>
    <row r="73" spans="1:7" x14ac:dyDescent="0.25">
      <c r="A73">
        <v>2</v>
      </c>
      <c r="B73">
        <v>4</v>
      </c>
      <c r="C73">
        <v>16</v>
      </c>
      <c r="D73">
        <v>959</v>
      </c>
      <c r="E73" t="s">
        <v>66</v>
      </c>
      <c r="F73">
        <v>0.40059499999999998</v>
      </c>
      <c r="G73">
        <v>16</v>
      </c>
    </row>
    <row r="74" spans="1:7" x14ac:dyDescent="0.25">
      <c r="A74">
        <v>2</v>
      </c>
      <c r="B74">
        <v>4</v>
      </c>
      <c r="C74">
        <v>16</v>
      </c>
      <c r="D74">
        <v>959</v>
      </c>
      <c r="E74" t="s">
        <v>66</v>
      </c>
      <c r="F74">
        <v>0.395868</v>
      </c>
      <c r="G74">
        <v>17</v>
      </c>
    </row>
    <row r="75" spans="1:7" x14ac:dyDescent="0.25">
      <c r="A75">
        <v>2</v>
      </c>
      <c r="B75">
        <v>4</v>
      </c>
      <c r="C75">
        <v>16</v>
      </c>
      <c r="D75">
        <v>959</v>
      </c>
      <c r="E75" t="s">
        <v>66</v>
      </c>
      <c r="F75">
        <v>0.39299099999999998</v>
      </c>
      <c r="G75">
        <v>18</v>
      </c>
    </row>
    <row r="76" spans="1:7" x14ac:dyDescent="0.25">
      <c r="A76">
        <v>2</v>
      </c>
      <c r="B76">
        <v>4</v>
      </c>
      <c r="C76">
        <v>16</v>
      </c>
      <c r="D76">
        <v>959</v>
      </c>
      <c r="E76" t="s">
        <v>66</v>
      </c>
      <c r="F76">
        <v>0.39248</v>
      </c>
      <c r="G76">
        <v>19</v>
      </c>
    </row>
    <row r="77" spans="1:7" x14ac:dyDescent="0.25">
      <c r="A77">
        <v>2</v>
      </c>
      <c r="B77">
        <v>4</v>
      </c>
      <c r="C77">
        <v>16</v>
      </c>
      <c r="D77">
        <v>959</v>
      </c>
      <c r="E77" t="s">
        <v>66</v>
      </c>
      <c r="F77">
        <v>0.389405</v>
      </c>
      <c r="G77">
        <v>20</v>
      </c>
    </row>
    <row r="78" spans="1:7" x14ac:dyDescent="0.25">
      <c r="A78">
        <v>2</v>
      </c>
      <c r="B78">
        <v>4</v>
      </c>
      <c r="C78">
        <v>16</v>
      </c>
      <c r="D78">
        <v>1384</v>
      </c>
      <c r="E78" t="s">
        <v>67</v>
      </c>
      <c r="F78">
        <v>0.76593199999999995</v>
      </c>
      <c r="G78">
        <v>2</v>
      </c>
    </row>
    <row r="79" spans="1:7" x14ac:dyDescent="0.25">
      <c r="A79">
        <v>2</v>
      </c>
      <c r="B79">
        <v>4</v>
      </c>
      <c r="C79">
        <v>16</v>
      </c>
      <c r="D79">
        <v>1384</v>
      </c>
      <c r="E79" t="s">
        <v>67</v>
      </c>
      <c r="F79">
        <v>0.64524199999999998</v>
      </c>
      <c r="G79">
        <v>3</v>
      </c>
    </row>
    <row r="80" spans="1:7" x14ac:dyDescent="0.25">
      <c r="A80">
        <v>2</v>
      </c>
      <c r="B80">
        <v>4</v>
      </c>
      <c r="C80">
        <v>16</v>
      </c>
      <c r="D80">
        <v>1384</v>
      </c>
      <c r="E80" t="s">
        <v>67</v>
      </c>
      <c r="F80">
        <v>0.55542400000000003</v>
      </c>
      <c r="G80">
        <v>4</v>
      </c>
    </row>
    <row r="81" spans="1:7" x14ac:dyDescent="0.25">
      <c r="A81">
        <v>2</v>
      </c>
      <c r="B81">
        <v>4</v>
      </c>
      <c r="C81">
        <v>16</v>
      </c>
      <c r="D81">
        <v>1384</v>
      </c>
      <c r="E81" t="s">
        <v>67</v>
      </c>
      <c r="F81">
        <v>0.52084600000000003</v>
      </c>
      <c r="G81">
        <v>5</v>
      </c>
    </row>
    <row r="82" spans="1:7" x14ac:dyDescent="0.25">
      <c r="A82">
        <v>2</v>
      </c>
      <c r="B82">
        <v>4</v>
      </c>
      <c r="C82">
        <v>16</v>
      </c>
      <c r="D82">
        <v>1384</v>
      </c>
      <c r="E82" t="s">
        <v>67</v>
      </c>
      <c r="F82">
        <v>0.48984899999999998</v>
      </c>
      <c r="G82">
        <v>6</v>
      </c>
    </row>
    <row r="83" spans="1:7" x14ac:dyDescent="0.25">
      <c r="A83">
        <v>2</v>
      </c>
      <c r="B83">
        <v>4</v>
      </c>
      <c r="C83">
        <v>16</v>
      </c>
      <c r="D83">
        <v>1384</v>
      </c>
      <c r="E83" t="s">
        <v>67</v>
      </c>
      <c r="F83">
        <v>0.47149799999999997</v>
      </c>
      <c r="G83">
        <v>7</v>
      </c>
    </row>
    <row r="84" spans="1:7" x14ac:dyDescent="0.25">
      <c r="A84">
        <v>2</v>
      </c>
      <c r="B84">
        <v>4</v>
      </c>
      <c r="C84">
        <v>16</v>
      </c>
      <c r="D84">
        <v>1384</v>
      </c>
      <c r="E84" t="s">
        <v>67</v>
      </c>
      <c r="F84">
        <v>0.45227800000000001</v>
      </c>
      <c r="G84">
        <v>8</v>
      </c>
    </row>
    <row r="85" spans="1:7" x14ac:dyDescent="0.25">
      <c r="A85">
        <v>2</v>
      </c>
      <c r="B85">
        <v>4</v>
      </c>
      <c r="C85">
        <v>16</v>
      </c>
      <c r="D85">
        <v>1384</v>
      </c>
      <c r="E85" t="s">
        <v>67</v>
      </c>
      <c r="F85">
        <v>0.43480000000000002</v>
      </c>
      <c r="G85">
        <v>9</v>
      </c>
    </row>
    <row r="86" spans="1:7" x14ac:dyDescent="0.25">
      <c r="A86">
        <v>2</v>
      </c>
      <c r="B86">
        <v>4</v>
      </c>
      <c r="C86">
        <v>16</v>
      </c>
      <c r="D86">
        <v>1384</v>
      </c>
      <c r="E86" t="s">
        <v>67</v>
      </c>
      <c r="F86">
        <v>0.41879</v>
      </c>
      <c r="G86">
        <v>10</v>
      </c>
    </row>
    <row r="87" spans="1:7" x14ac:dyDescent="0.25">
      <c r="A87">
        <v>2</v>
      </c>
      <c r="B87">
        <v>4</v>
      </c>
      <c r="C87">
        <v>16</v>
      </c>
      <c r="D87">
        <v>1384</v>
      </c>
      <c r="E87" t="s">
        <v>67</v>
      </c>
      <c r="F87">
        <v>0.40665899999999999</v>
      </c>
      <c r="G87">
        <v>11</v>
      </c>
    </row>
    <row r="88" spans="1:7" x14ac:dyDescent="0.25">
      <c r="A88">
        <v>2</v>
      </c>
      <c r="B88">
        <v>4</v>
      </c>
      <c r="C88">
        <v>16</v>
      </c>
      <c r="D88">
        <v>1384</v>
      </c>
      <c r="E88" t="s">
        <v>67</v>
      </c>
      <c r="F88">
        <v>0.39915200000000001</v>
      </c>
      <c r="G88">
        <v>12</v>
      </c>
    </row>
    <row r="89" spans="1:7" x14ac:dyDescent="0.25">
      <c r="A89">
        <v>2</v>
      </c>
      <c r="B89">
        <v>4</v>
      </c>
      <c r="C89">
        <v>16</v>
      </c>
      <c r="D89">
        <v>1384</v>
      </c>
      <c r="E89" t="s">
        <v>67</v>
      </c>
      <c r="F89">
        <v>0.39183600000000002</v>
      </c>
      <c r="G89">
        <v>13</v>
      </c>
    </row>
    <row r="90" spans="1:7" x14ac:dyDescent="0.25">
      <c r="A90">
        <v>2</v>
      </c>
      <c r="B90">
        <v>4</v>
      </c>
      <c r="C90">
        <v>16</v>
      </c>
      <c r="D90">
        <v>1384</v>
      </c>
      <c r="E90" t="s">
        <v>67</v>
      </c>
      <c r="F90">
        <v>0.38465899999999997</v>
      </c>
      <c r="G90">
        <v>14</v>
      </c>
    </row>
    <row r="91" spans="1:7" x14ac:dyDescent="0.25">
      <c r="A91">
        <v>2</v>
      </c>
      <c r="B91">
        <v>4</v>
      </c>
      <c r="C91">
        <v>16</v>
      </c>
      <c r="D91">
        <v>1384</v>
      </c>
      <c r="E91" t="s">
        <v>67</v>
      </c>
      <c r="F91">
        <v>0.37817400000000001</v>
      </c>
      <c r="G91">
        <v>15</v>
      </c>
    </row>
    <row r="92" spans="1:7" x14ac:dyDescent="0.25">
      <c r="A92">
        <v>2</v>
      </c>
      <c r="B92">
        <v>4</v>
      </c>
      <c r="C92">
        <v>16</v>
      </c>
      <c r="D92">
        <v>1384</v>
      </c>
      <c r="E92" t="s">
        <v>67</v>
      </c>
      <c r="F92">
        <v>0.37628200000000001</v>
      </c>
      <c r="G92">
        <v>16</v>
      </c>
    </row>
    <row r="93" spans="1:7" x14ac:dyDescent="0.25">
      <c r="A93">
        <v>2</v>
      </c>
      <c r="B93">
        <v>4</v>
      </c>
      <c r="C93">
        <v>16</v>
      </c>
      <c r="D93">
        <v>1384</v>
      </c>
      <c r="E93" t="s">
        <v>67</v>
      </c>
      <c r="F93">
        <v>0.37142900000000001</v>
      </c>
      <c r="G93">
        <v>17</v>
      </c>
    </row>
    <row r="94" spans="1:7" x14ac:dyDescent="0.25">
      <c r="A94">
        <v>2</v>
      </c>
      <c r="B94">
        <v>4</v>
      </c>
      <c r="C94">
        <v>16</v>
      </c>
      <c r="D94">
        <v>1384</v>
      </c>
      <c r="E94" t="s">
        <v>67</v>
      </c>
      <c r="F94">
        <v>0.36760199999999998</v>
      </c>
      <c r="G94">
        <v>18</v>
      </c>
    </row>
    <row r="95" spans="1:7" x14ac:dyDescent="0.25">
      <c r="A95">
        <v>2</v>
      </c>
      <c r="B95">
        <v>4</v>
      </c>
      <c r="C95">
        <v>16</v>
      </c>
      <c r="D95">
        <v>1384</v>
      </c>
      <c r="E95" t="s">
        <v>67</v>
      </c>
      <c r="F95">
        <v>0.36588999999999999</v>
      </c>
      <c r="G95">
        <v>19</v>
      </c>
    </row>
    <row r="96" spans="1:7" x14ac:dyDescent="0.25">
      <c r="A96">
        <v>2</v>
      </c>
      <c r="B96">
        <v>4</v>
      </c>
      <c r="C96">
        <v>16</v>
      </c>
      <c r="D96">
        <v>1384</v>
      </c>
      <c r="E96" t="s">
        <v>67</v>
      </c>
      <c r="F96">
        <v>0.36262</v>
      </c>
      <c r="G96">
        <v>20</v>
      </c>
    </row>
    <row r="97" spans="1:7" x14ac:dyDescent="0.25">
      <c r="A97">
        <v>2</v>
      </c>
      <c r="B97">
        <v>4</v>
      </c>
      <c r="C97">
        <v>16</v>
      </c>
      <c r="D97">
        <v>922</v>
      </c>
      <c r="E97" t="s">
        <v>54</v>
      </c>
      <c r="F97">
        <v>0.78575600000000001</v>
      </c>
      <c r="G97">
        <v>2</v>
      </c>
    </row>
    <row r="98" spans="1:7" x14ac:dyDescent="0.25">
      <c r="A98">
        <v>2</v>
      </c>
      <c r="B98">
        <v>4</v>
      </c>
      <c r="C98">
        <v>16</v>
      </c>
      <c r="D98">
        <v>922</v>
      </c>
      <c r="E98" t="s">
        <v>54</v>
      </c>
      <c r="F98">
        <v>0.65158499999999997</v>
      </c>
      <c r="G98">
        <v>3</v>
      </c>
    </row>
    <row r="99" spans="1:7" x14ac:dyDescent="0.25">
      <c r="A99">
        <v>2</v>
      </c>
      <c r="B99">
        <v>4</v>
      </c>
      <c r="C99">
        <v>16</v>
      </c>
      <c r="D99">
        <v>922</v>
      </c>
      <c r="E99" t="s">
        <v>54</v>
      </c>
      <c r="F99">
        <v>0.58987500000000004</v>
      </c>
      <c r="G99">
        <v>4</v>
      </c>
    </row>
    <row r="100" spans="1:7" x14ac:dyDescent="0.25">
      <c r="A100">
        <v>2</v>
      </c>
      <c r="B100">
        <v>4</v>
      </c>
      <c r="C100">
        <v>16</v>
      </c>
      <c r="D100">
        <v>922</v>
      </c>
      <c r="E100" t="s">
        <v>54</v>
      </c>
      <c r="F100">
        <v>0.53981000000000001</v>
      </c>
      <c r="G100">
        <v>5</v>
      </c>
    </row>
    <row r="101" spans="1:7" x14ac:dyDescent="0.25">
      <c r="A101">
        <v>2</v>
      </c>
      <c r="B101">
        <v>4</v>
      </c>
      <c r="C101">
        <v>16</v>
      </c>
      <c r="D101">
        <v>922</v>
      </c>
      <c r="E101" t="s">
        <v>54</v>
      </c>
      <c r="F101">
        <v>0.50188999999999995</v>
      </c>
      <c r="G101">
        <v>6</v>
      </c>
    </row>
    <row r="102" spans="1:7" x14ac:dyDescent="0.25">
      <c r="A102">
        <v>2</v>
      </c>
      <c r="B102">
        <v>4</v>
      </c>
      <c r="C102">
        <v>16</v>
      </c>
      <c r="D102">
        <v>922</v>
      </c>
      <c r="E102" t="s">
        <v>54</v>
      </c>
      <c r="F102">
        <v>0.47297800000000001</v>
      </c>
      <c r="G102">
        <v>7</v>
      </c>
    </row>
    <row r="103" spans="1:7" x14ac:dyDescent="0.25">
      <c r="A103">
        <v>2</v>
      </c>
      <c r="B103">
        <v>4</v>
      </c>
      <c r="C103">
        <v>16</v>
      </c>
      <c r="D103">
        <v>922</v>
      </c>
      <c r="E103" t="s">
        <v>54</v>
      </c>
      <c r="F103">
        <v>0.448075</v>
      </c>
      <c r="G103">
        <v>8</v>
      </c>
    </row>
    <row r="104" spans="1:7" x14ac:dyDescent="0.25">
      <c r="A104">
        <v>2</v>
      </c>
      <c r="B104">
        <v>4</v>
      </c>
      <c r="C104">
        <v>16</v>
      </c>
      <c r="D104">
        <v>922</v>
      </c>
      <c r="E104" t="s">
        <v>54</v>
      </c>
      <c r="F104">
        <v>0.43101699999999998</v>
      </c>
      <c r="G104">
        <v>9</v>
      </c>
    </row>
    <row r="105" spans="1:7" x14ac:dyDescent="0.25">
      <c r="A105">
        <v>2</v>
      </c>
      <c r="B105">
        <v>4</v>
      </c>
      <c r="C105">
        <v>16</v>
      </c>
      <c r="D105">
        <v>922</v>
      </c>
      <c r="E105" t="s">
        <v>54</v>
      </c>
      <c r="F105">
        <v>0.41861700000000002</v>
      </c>
      <c r="G105">
        <v>10</v>
      </c>
    </row>
    <row r="106" spans="1:7" x14ac:dyDescent="0.25">
      <c r="A106">
        <v>2</v>
      </c>
      <c r="B106">
        <v>4</v>
      </c>
      <c r="C106">
        <v>16</v>
      </c>
      <c r="D106">
        <v>922</v>
      </c>
      <c r="E106" t="s">
        <v>54</v>
      </c>
      <c r="F106">
        <v>0.41110000000000002</v>
      </c>
      <c r="G106">
        <v>11</v>
      </c>
    </row>
    <row r="107" spans="1:7" x14ac:dyDescent="0.25">
      <c r="A107">
        <v>2</v>
      </c>
      <c r="B107">
        <v>4</v>
      </c>
      <c r="C107">
        <v>16</v>
      </c>
      <c r="D107">
        <v>922</v>
      </c>
      <c r="E107" t="s">
        <v>54</v>
      </c>
      <c r="F107">
        <v>0.401698</v>
      </c>
      <c r="G107">
        <v>12</v>
      </c>
    </row>
    <row r="108" spans="1:7" x14ac:dyDescent="0.25">
      <c r="A108">
        <v>2</v>
      </c>
      <c r="B108">
        <v>4</v>
      </c>
      <c r="C108">
        <v>16</v>
      </c>
      <c r="D108">
        <v>922</v>
      </c>
      <c r="E108" t="s">
        <v>54</v>
      </c>
      <c r="F108">
        <v>0.39598100000000003</v>
      </c>
      <c r="G108">
        <v>13</v>
      </c>
    </row>
    <row r="109" spans="1:7" x14ac:dyDescent="0.25">
      <c r="A109">
        <v>2</v>
      </c>
      <c r="B109">
        <v>4</v>
      </c>
      <c r="C109">
        <v>16</v>
      </c>
      <c r="D109">
        <v>922</v>
      </c>
      <c r="E109" t="s">
        <v>54</v>
      </c>
      <c r="F109">
        <v>0.39097300000000001</v>
      </c>
      <c r="G109">
        <v>14</v>
      </c>
    </row>
    <row r="110" spans="1:7" x14ac:dyDescent="0.25">
      <c r="A110">
        <v>2</v>
      </c>
      <c r="B110">
        <v>4</v>
      </c>
      <c r="C110">
        <v>16</v>
      </c>
      <c r="D110">
        <v>922</v>
      </c>
      <c r="E110" t="s">
        <v>54</v>
      </c>
      <c r="F110">
        <v>0.38626199999999999</v>
      </c>
      <c r="G110">
        <v>15</v>
      </c>
    </row>
    <row r="111" spans="1:7" x14ac:dyDescent="0.25">
      <c r="A111">
        <v>2</v>
      </c>
      <c r="B111">
        <v>4</v>
      </c>
      <c r="C111">
        <v>16</v>
      </c>
      <c r="D111">
        <v>922</v>
      </c>
      <c r="E111" t="s">
        <v>54</v>
      </c>
      <c r="F111">
        <v>0.38214500000000001</v>
      </c>
      <c r="G111">
        <v>16</v>
      </c>
    </row>
    <row r="112" spans="1:7" x14ac:dyDescent="0.25">
      <c r="A112">
        <v>2</v>
      </c>
      <c r="B112">
        <v>4</v>
      </c>
      <c r="C112">
        <v>16</v>
      </c>
      <c r="D112">
        <v>922</v>
      </c>
      <c r="E112" t="s">
        <v>54</v>
      </c>
      <c r="F112">
        <v>0.37781100000000001</v>
      </c>
      <c r="G112">
        <v>17</v>
      </c>
    </row>
    <row r="113" spans="1:7" x14ac:dyDescent="0.25">
      <c r="A113">
        <v>2</v>
      </c>
      <c r="B113">
        <v>4</v>
      </c>
      <c r="C113">
        <v>16</v>
      </c>
      <c r="D113">
        <v>922</v>
      </c>
      <c r="E113" t="s">
        <v>54</v>
      </c>
      <c r="F113">
        <v>0.37438300000000002</v>
      </c>
      <c r="G113">
        <v>18</v>
      </c>
    </row>
    <row r="114" spans="1:7" x14ac:dyDescent="0.25">
      <c r="A114">
        <v>2</v>
      </c>
      <c r="B114">
        <v>4</v>
      </c>
      <c r="C114">
        <v>16</v>
      </c>
      <c r="D114">
        <v>922</v>
      </c>
      <c r="E114" t="s">
        <v>54</v>
      </c>
      <c r="F114">
        <v>0.37214900000000001</v>
      </c>
      <c r="G114">
        <v>19</v>
      </c>
    </row>
    <row r="115" spans="1:7" x14ac:dyDescent="0.25">
      <c r="A115">
        <v>2</v>
      </c>
      <c r="B115">
        <v>4</v>
      </c>
      <c r="C115">
        <v>16</v>
      </c>
      <c r="D115">
        <v>922</v>
      </c>
      <c r="E115" t="s">
        <v>54</v>
      </c>
      <c r="F115">
        <v>0.36997999999999998</v>
      </c>
      <c r="G115">
        <v>20</v>
      </c>
    </row>
    <row r="116" spans="1:7" x14ac:dyDescent="0.25">
      <c r="A116">
        <v>2</v>
      </c>
      <c r="B116">
        <v>4</v>
      </c>
      <c r="C116">
        <v>16</v>
      </c>
      <c r="D116">
        <v>642</v>
      </c>
      <c r="E116" t="s">
        <v>58</v>
      </c>
      <c r="F116">
        <v>0.76893</v>
      </c>
      <c r="G116">
        <v>2</v>
      </c>
    </row>
    <row r="117" spans="1:7" x14ac:dyDescent="0.25">
      <c r="A117">
        <v>2</v>
      </c>
      <c r="B117">
        <v>4</v>
      </c>
      <c r="C117">
        <v>16</v>
      </c>
      <c r="D117">
        <v>642</v>
      </c>
      <c r="E117" t="s">
        <v>58</v>
      </c>
      <c r="F117">
        <v>0.58089000000000002</v>
      </c>
      <c r="G117">
        <v>3</v>
      </c>
    </row>
    <row r="118" spans="1:7" x14ac:dyDescent="0.25">
      <c r="A118">
        <v>2</v>
      </c>
      <c r="B118">
        <v>4</v>
      </c>
      <c r="C118">
        <v>16</v>
      </c>
      <c r="D118">
        <v>642</v>
      </c>
      <c r="E118" t="s">
        <v>58</v>
      </c>
      <c r="F118">
        <v>0.52893699999999999</v>
      </c>
      <c r="G118">
        <v>4</v>
      </c>
    </row>
    <row r="119" spans="1:7" x14ac:dyDescent="0.25">
      <c r="A119">
        <v>2</v>
      </c>
      <c r="B119">
        <v>4</v>
      </c>
      <c r="C119">
        <v>16</v>
      </c>
      <c r="D119">
        <v>642</v>
      </c>
      <c r="E119" t="s">
        <v>58</v>
      </c>
      <c r="F119">
        <v>0.48880699999999999</v>
      </c>
      <c r="G119">
        <v>5</v>
      </c>
    </row>
    <row r="120" spans="1:7" x14ac:dyDescent="0.25">
      <c r="A120">
        <v>2</v>
      </c>
      <c r="B120">
        <v>4</v>
      </c>
      <c r="C120">
        <v>16</v>
      </c>
      <c r="D120">
        <v>642</v>
      </c>
      <c r="E120" t="s">
        <v>58</v>
      </c>
      <c r="F120">
        <v>0.45470899999999997</v>
      </c>
      <c r="G120">
        <v>6</v>
      </c>
    </row>
    <row r="121" spans="1:7" x14ac:dyDescent="0.25">
      <c r="A121">
        <v>2</v>
      </c>
      <c r="B121">
        <v>4</v>
      </c>
      <c r="C121">
        <v>16</v>
      </c>
      <c r="D121">
        <v>642</v>
      </c>
      <c r="E121" t="s">
        <v>58</v>
      </c>
      <c r="F121">
        <v>0.42961100000000002</v>
      </c>
      <c r="G121">
        <v>7</v>
      </c>
    </row>
    <row r="122" spans="1:7" x14ac:dyDescent="0.25">
      <c r="A122">
        <v>2</v>
      </c>
      <c r="B122">
        <v>4</v>
      </c>
      <c r="C122">
        <v>16</v>
      </c>
      <c r="D122">
        <v>642</v>
      </c>
      <c r="E122" t="s">
        <v>58</v>
      </c>
      <c r="F122">
        <v>0.40723300000000001</v>
      </c>
      <c r="G122">
        <v>8</v>
      </c>
    </row>
    <row r="123" spans="1:7" x14ac:dyDescent="0.25">
      <c r="A123">
        <v>2</v>
      </c>
      <c r="B123">
        <v>4</v>
      </c>
      <c r="C123">
        <v>16</v>
      </c>
      <c r="D123">
        <v>642</v>
      </c>
      <c r="E123" t="s">
        <v>58</v>
      </c>
      <c r="F123">
        <v>0.38869199999999998</v>
      </c>
      <c r="G123">
        <v>9</v>
      </c>
    </row>
    <row r="124" spans="1:7" x14ac:dyDescent="0.25">
      <c r="A124">
        <v>2</v>
      </c>
      <c r="B124">
        <v>4</v>
      </c>
      <c r="C124">
        <v>16</v>
      </c>
      <c r="D124">
        <v>642</v>
      </c>
      <c r="E124" t="s">
        <v>58</v>
      </c>
      <c r="F124">
        <v>0.37031900000000001</v>
      </c>
      <c r="G124">
        <v>10</v>
      </c>
    </row>
    <row r="125" spans="1:7" x14ac:dyDescent="0.25">
      <c r="A125">
        <v>2</v>
      </c>
      <c r="B125">
        <v>4</v>
      </c>
      <c r="C125">
        <v>16</v>
      </c>
      <c r="D125">
        <v>642</v>
      </c>
      <c r="E125" t="s">
        <v>58</v>
      </c>
      <c r="F125">
        <v>0.360568</v>
      </c>
      <c r="G125">
        <v>11</v>
      </c>
    </row>
    <row r="126" spans="1:7" x14ac:dyDescent="0.25">
      <c r="A126">
        <v>2</v>
      </c>
      <c r="B126">
        <v>4</v>
      </c>
      <c r="C126">
        <v>16</v>
      </c>
      <c r="D126">
        <v>642</v>
      </c>
      <c r="E126" t="s">
        <v>58</v>
      </c>
      <c r="F126">
        <v>0.35336899999999999</v>
      </c>
      <c r="G126">
        <v>12</v>
      </c>
    </row>
    <row r="127" spans="1:7" x14ac:dyDescent="0.25">
      <c r="A127">
        <v>2</v>
      </c>
      <c r="B127">
        <v>4</v>
      </c>
      <c r="C127">
        <v>16</v>
      </c>
      <c r="D127">
        <v>642</v>
      </c>
      <c r="E127" t="s">
        <v>58</v>
      </c>
      <c r="F127">
        <v>0.347306</v>
      </c>
      <c r="G127">
        <v>13</v>
      </c>
    </row>
    <row r="128" spans="1:7" x14ac:dyDescent="0.25">
      <c r="A128">
        <v>2</v>
      </c>
      <c r="B128">
        <v>4</v>
      </c>
      <c r="C128">
        <v>16</v>
      </c>
      <c r="D128">
        <v>642</v>
      </c>
      <c r="E128" t="s">
        <v>58</v>
      </c>
      <c r="F128">
        <v>0.34250000000000003</v>
      </c>
      <c r="G128">
        <v>14</v>
      </c>
    </row>
    <row r="129" spans="1:7" x14ac:dyDescent="0.25">
      <c r="A129">
        <v>2</v>
      </c>
      <c r="B129">
        <v>4</v>
      </c>
      <c r="C129">
        <v>16</v>
      </c>
      <c r="D129">
        <v>642</v>
      </c>
      <c r="E129" t="s">
        <v>58</v>
      </c>
      <c r="F129">
        <v>0.33129599999999998</v>
      </c>
      <c r="G129">
        <v>17</v>
      </c>
    </row>
    <row r="130" spans="1:7" x14ac:dyDescent="0.25">
      <c r="A130">
        <v>2</v>
      </c>
      <c r="B130">
        <v>4</v>
      </c>
      <c r="C130">
        <v>16</v>
      </c>
      <c r="D130">
        <v>642</v>
      </c>
      <c r="E130" t="s">
        <v>58</v>
      </c>
      <c r="F130">
        <v>0.32863500000000001</v>
      </c>
      <c r="G130">
        <v>18</v>
      </c>
    </row>
    <row r="132" spans="1:7" x14ac:dyDescent="0.25">
      <c r="A132">
        <v>2</v>
      </c>
      <c r="B132">
        <v>4</v>
      </c>
      <c r="C132">
        <v>16</v>
      </c>
      <c r="D132">
        <v>642</v>
      </c>
      <c r="E132" t="s">
        <v>58</v>
      </c>
      <c r="F132">
        <v>0.32499299999999998</v>
      </c>
      <c r="G132">
        <v>20</v>
      </c>
    </row>
    <row r="133" spans="1:7" x14ac:dyDescent="0.25">
      <c r="A133">
        <v>2</v>
      </c>
      <c r="B133">
        <v>4</v>
      </c>
      <c r="C133">
        <v>16</v>
      </c>
      <c r="D133">
        <v>642</v>
      </c>
      <c r="E133" t="s">
        <v>58</v>
      </c>
      <c r="F133">
        <v>0.32702700000000001</v>
      </c>
      <c r="G133">
        <v>19</v>
      </c>
    </row>
    <row r="134" spans="1:7" x14ac:dyDescent="0.25">
      <c r="A134">
        <v>2</v>
      </c>
      <c r="B134">
        <v>4</v>
      </c>
      <c r="C134">
        <v>16</v>
      </c>
      <c r="D134">
        <v>642</v>
      </c>
      <c r="E134" t="s">
        <v>58</v>
      </c>
      <c r="F134">
        <v>0.33870899999999998</v>
      </c>
      <c r="G134">
        <v>15</v>
      </c>
    </row>
    <row r="135" spans="1:7" x14ac:dyDescent="0.25">
      <c r="A135">
        <v>2</v>
      </c>
      <c r="B135">
        <v>4</v>
      </c>
      <c r="C135">
        <v>16</v>
      </c>
      <c r="D135">
        <v>642</v>
      </c>
      <c r="E135" t="s">
        <v>58</v>
      </c>
      <c r="F135">
        <v>0.33571400000000001</v>
      </c>
      <c r="G135">
        <v>16</v>
      </c>
    </row>
    <row r="136" spans="1:7" x14ac:dyDescent="0.25">
      <c r="A136">
        <v>2</v>
      </c>
      <c r="B136">
        <v>4</v>
      </c>
      <c r="C136">
        <v>16</v>
      </c>
      <c r="D136">
        <v>1979</v>
      </c>
      <c r="E136" t="s">
        <v>53</v>
      </c>
      <c r="F136">
        <v>0.80766400000000005</v>
      </c>
      <c r="G136">
        <v>2</v>
      </c>
    </row>
    <row r="137" spans="1:7" x14ac:dyDescent="0.25">
      <c r="A137">
        <v>2</v>
      </c>
      <c r="B137">
        <v>4</v>
      </c>
      <c r="C137">
        <v>16</v>
      </c>
      <c r="D137">
        <v>1979</v>
      </c>
      <c r="E137" t="s">
        <v>53</v>
      </c>
      <c r="F137">
        <v>0.55447800000000003</v>
      </c>
      <c r="G137">
        <v>5</v>
      </c>
    </row>
    <row r="138" spans="1:7" x14ac:dyDescent="0.25">
      <c r="A138">
        <v>2</v>
      </c>
      <c r="B138">
        <v>4</v>
      </c>
      <c r="C138">
        <v>16</v>
      </c>
      <c r="D138">
        <v>1979</v>
      </c>
      <c r="E138" t="s">
        <v>53</v>
      </c>
      <c r="F138">
        <v>0.66008100000000003</v>
      </c>
      <c r="G138">
        <v>3</v>
      </c>
    </row>
    <row r="139" spans="1:7" x14ac:dyDescent="0.25">
      <c r="A139">
        <v>2</v>
      </c>
      <c r="B139">
        <v>4</v>
      </c>
      <c r="C139">
        <v>16</v>
      </c>
      <c r="D139">
        <v>1979</v>
      </c>
      <c r="E139" t="s">
        <v>53</v>
      </c>
      <c r="F139">
        <v>0.60474300000000003</v>
      </c>
      <c r="G139">
        <v>4</v>
      </c>
    </row>
    <row r="141" spans="1:7" x14ac:dyDescent="0.25">
      <c r="A141">
        <v>2</v>
      </c>
      <c r="B141">
        <v>4</v>
      </c>
      <c r="C141">
        <v>16</v>
      </c>
      <c r="D141">
        <v>1979</v>
      </c>
      <c r="E141" t="s">
        <v>53</v>
      </c>
      <c r="F141">
        <v>0.52154199999999995</v>
      </c>
      <c r="G141">
        <v>6</v>
      </c>
    </row>
    <row r="142" spans="1:7" x14ac:dyDescent="0.25">
      <c r="A142">
        <v>2</v>
      </c>
      <c r="B142">
        <v>4</v>
      </c>
      <c r="C142">
        <v>16</v>
      </c>
      <c r="D142">
        <v>1979</v>
      </c>
      <c r="E142" t="s">
        <v>53</v>
      </c>
      <c r="F142">
        <v>0.49723400000000001</v>
      </c>
      <c r="G142">
        <v>7</v>
      </c>
    </row>
    <row r="143" spans="1:7" x14ac:dyDescent="0.25">
      <c r="A143">
        <v>2</v>
      </c>
      <c r="B143">
        <v>4</v>
      </c>
      <c r="C143">
        <v>16</v>
      </c>
      <c r="D143">
        <v>1979</v>
      </c>
      <c r="E143" t="s">
        <v>53</v>
      </c>
      <c r="F143">
        <v>0.47531699999999999</v>
      </c>
      <c r="G143">
        <v>8</v>
      </c>
    </row>
    <row r="144" spans="1:7" x14ac:dyDescent="0.25">
      <c r="A144">
        <v>2</v>
      </c>
      <c r="B144">
        <v>4</v>
      </c>
      <c r="C144">
        <v>16</v>
      </c>
      <c r="D144">
        <v>1979</v>
      </c>
      <c r="E144" t="s">
        <v>53</v>
      </c>
      <c r="F144">
        <v>0.45522499999999999</v>
      </c>
      <c r="G144">
        <v>9</v>
      </c>
    </row>
    <row r="145" spans="1:7" x14ac:dyDescent="0.25">
      <c r="A145">
        <v>2</v>
      </c>
      <c r="B145">
        <v>4</v>
      </c>
      <c r="C145">
        <v>16</v>
      </c>
      <c r="D145">
        <v>1979</v>
      </c>
      <c r="E145" t="s">
        <v>53</v>
      </c>
      <c r="F145">
        <v>0.43048399999999998</v>
      </c>
      <c r="G145">
        <v>10</v>
      </c>
    </row>
    <row r="146" spans="1:7" x14ac:dyDescent="0.25">
      <c r="A146">
        <v>2</v>
      </c>
      <c r="B146">
        <v>4</v>
      </c>
      <c r="C146">
        <v>16</v>
      </c>
      <c r="D146">
        <v>1979</v>
      </c>
      <c r="E146" t="s">
        <v>53</v>
      </c>
      <c r="F146">
        <v>0.41189100000000001</v>
      </c>
      <c r="G146">
        <v>11</v>
      </c>
    </row>
    <row r="147" spans="1:7" x14ac:dyDescent="0.25">
      <c r="A147">
        <v>2</v>
      </c>
      <c r="B147">
        <v>4</v>
      </c>
      <c r="C147">
        <v>16</v>
      </c>
      <c r="D147">
        <v>1979</v>
      </c>
      <c r="E147" t="s">
        <v>53</v>
      </c>
      <c r="F147">
        <v>0.40243400000000001</v>
      </c>
      <c r="G147">
        <v>12</v>
      </c>
    </row>
    <row r="148" spans="1:7" x14ac:dyDescent="0.25">
      <c r="A148">
        <v>2</v>
      </c>
      <c r="B148">
        <v>4</v>
      </c>
      <c r="C148">
        <v>16</v>
      </c>
      <c r="D148">
        <v>1979</v>
      </c>
      <c r="E148" t="s">
        <v>53</v>
      </c>
      <c r="F148">
        <v>0.39280199999999998</v>
      </c>
      <c r="G148">
        <v>13</v>
      </c>
    </row>
    <row r="149" spans="1:7" x14ac:dyDescent="0.25">
      <c r="A149">
        <v>2</v>
      </c>
      <c r="B149">
        <v>4</v>
      </c>
      <c r="C149">
        <v>16</v>
      </c>
      <c r="D149">
        <v>1979</v>
      </c>
      <c r="E149" t="s">
        <v>53</v>
      </c>
      <c r="F149">
        <v>0.38885900000000001</v>
      </c>
      <c r="G149">
        <v>14</v>
      </c>
    </row>
    <row r="150" spans="1:7" x14ac:dyDescent="0.25">
      <c r="A150">
        <v>2</v>
      </c>
      <c r="B150">
        <v>4</v>
      </c>
      <c r="C150">
        <v>16</v>
      </c>
      <c r="D150">
        <v>1979</v>
      </c>
      <c r="E150" t="s">
        <v>53</v>
      </c>
      <c r="F150">
        <v>0.38229000000000002</v>
      </c>
      <c r="G150">
        <v>15</v>
      </c>
    </row>
    <row r="151" spans="1:7" x14ac:dyDescent="0.25">
      <c r="A151">
        <v>2</v>
      </c>
      <c r="B151">
        <v>4</v>
      </c>
      <c r="C151">
        <v>16</v>
      </c>
      <c r="D151">
        <v>1979</v>
      </c>
      <c r="E151" t="s">
        <v>53</v>
      </c>
      <c r="F151">
        <v>0.37834699999999999</v>
      </c>
      <c r="G151">
        <v>16</v>
      </c>
    </row>
    <row r="152" spans="1:7" x14ac:dyDescent="0.25">
      <c r="A152">
        <v>2</v>
      </c>
      <c r="B152">
        <v>4</v>
      </c>
      <c r="C152">
        <v>16</v>
      </c>
      <c r="D152">
        <v>1979</v>
      </c>
      <c r="E152" t="s">
        <v>53</v>
      </c>
      <c r="F152">
        <v>0.37362899999999999</v>
      </c>
      <c r="G152">
        <v>17</v>
      </c>
    </row>
    <row r="153" spans="1:7" x14ac:dyDescent="0.25">
      <c r="A153">
        <v>2</v>
      </c>
      <c r="B153">
        <v>4</v>
      </c>
      <c r="C153">
        <v>16</v>
      </c>
      <c r="D153">
        <v>1979</v>
      </c>
      <c r="E153" t="s">
        <v>53</v>
      </c>
      <c r="F153">
        <v>0.36999599999999999</v>
      </c>
      <c r="G153">
        <v>18</v>
      </c>
    </row>
    <row r="154" spans="1:7" x14ac:dyDescent="0.25">
      <c r="A154">
        <v>2</v>
      </c>
      <c r="B154">
        <v>4</v>
      </c>
      <c r="C154">
        <v>16</v>
      </c>
      <c r="D154">
        <v>1979</v>
      </c>
      <c r="E154" t="s">
        <v>53</v>
      </c>
      <c r="F154">
        <v>0.36740099999999998</v>
      </c>
      <c r="G154">
        <v>19</v>
      </c>
    </row>
    <row r="155" spans="1:7" x14ac:dyDescent="0.25">
      <c r="A155">
        <v>2</v>
      </c>
      <c r="B155">
        <v>4</v>
      </c>
      <c r="C155">
        <v>16</v>
      </c>
      <c r="D155">
        <v>1979</v>
      </c>
      <c r="E155" t="s">
        <v>53</v>
      </c>
      <c r="F155">
        <v>0.364589</v>
      </c>
      <c r="G155">
        <v>20</v>
      </c>
    </row>
    <row r="156" spans="1:7" x14ac:dyDescent="0.25">
      <c r="A156">
        <v>2</v>
      </c>
      <c r="B156">
        <v>4</v>
      </c>
      <c r="C156">
        <v>16</v>
      </c>
      <c r="D156">
        <v>1904</v>
      </c>
      <c r="E156" t="s">
        <v>70</v>
      </c>
      <c r="F156">
        <v>0.78691900000000004</v>
      </c>
      <c r="G156">
        <v>2</v>
      </c>
    </row>
    <row r="157" spans="1:7" x14ac:dyDescent="0.25">
      <c r="A157">
        <v>2</v>
      </c>
      <c r="B157">
        <v>4</v>
      </c>
      <c r="C157">
        <v>16</v>
      </c>
      <c r="D157">
        <v>1904</v>
      </c>
      <c r="E157" t="s">
        <v>70</v>
      </c>
      <c r="F157">
        <v>0.66509799999999997</v>
      </c>
      <c r="G157">
        <v>3</v>
      </c>
    </row>
    <row r="158" spans="1:7" x14ac:dyDescent="0.25">
      <c r="A158">
        <v>2</v>
      </c>
      <c r="B158">
        <v>4</v>
      </c>
      <c r="C158">
        <v>16</v>
      </c>
      <c r="D158">
        <v>1904</v>
      </c>
      <c r="E158" t="s">
        <v>70</v>
      </c>
      <c r="F158">
        <v>0.58226100000000003</v>
      </c>
      <c r="G158">
        <v>4</v>
      </c>
    </row>
    <row r="159" spans="1:7" x14ac:dyDescent="0.25">
      <c r="A159">
        <v>2</v>
      </c>
      <c r="B159">
        <v>4</v>
      </c>
      <c r="C159">
        <v>16</v>
      </c>
      <c r="D159">
        <v>1904</v>
      </c>
      <c r="E159" t="s">
        <v>70</v>
      </c>
      <c r="F159">
        <v>0.53450200000000003</v>
      </c>
      <c r="G159">
        <v>5</v>
      </c>
    </row>
    <row r="160" spans="1:7" x14ac:dyDescent="0.25">
      <c r="A160">
        <v>2</v>
      </c>
      <c r="B160">
        <v>4</v>
      </c>
      <c r="C160">
        <v>16</v>
      </c>
      <c r="D160">
        <v>1904</v>
      </c>
      <c r="E160" t="s">
        <v>70</v>
      </c>
      <c r="F160">
        <v>0.50404899999999997</v>
      </c>
      <c r="G160">
        <v>6</v>
      </c>
    </row>
    <row r="161" spans="1:7" x14ac:dyDescent="0.25">
      <c r="A161">
        <v>2</v>
      </c>
      <c r="B161">
        <v>4</v>
      </c>
      <c r="C161">
        <v>16</v>
      </c>
      <c r="D161">
        <v>1904</v>
      </c>
      <c r="E161" t="s">
        <v>70</v>
      </c>
      <c r="F161">
        <v>0.48325299999999999</v>
      </c>
      <c r="G161">
        <v>7</v>
      </c>
    </row>
    <row r="162" spans="1:7" x14ac:dyDescent="0.25">
      <c r="A162">
        <v>2</v>
      </c>
      <c r="B162">
        <v>4</v>
      </c>
      <c r="C162">
        <v>16</v>
      </c>
      <c r="D162">
        <v>1904</v>
      </c>
      <c r="E162" t="s">
        <v>70</v>
      </c>
      <c r="F162">
        <v>0.46492800000000001</v>
      </c>
      <c r="G162">
        <v>8</v>
      </c>
    </row>
    <row r="163" spans="1:7" x14ac:dyDescent="0.25">
      <c r="A163">
        <v>2</v>
      </c>
      <c r="B163">
        <v>4</v>
      </c>
      <c r="C163">
        <v>16</v>
      </c>
      <c r="D163">
        <v>1904</v>
      </c>
      <c r="E163" t="s">
        <v>70</v>
      </c>
      <c r="F163">
        <v>0.45096700000000001</v>
      </c>
      <c r="G163">
        <v>9</v>
      </c>
    </row>
    <row r="164" spans="1:7" x14ac:dyDescent="0.25">
      <c r="A164">
        <v>2</v>
      </c>
      <c r="B164">
        <v>4</v>
      </c>
      <c r="C164">
        <v>16</v>
      </c>
      <c r="D164">
        <v>1904</v>
      </c>
      <c r="E164" t="s">
        <v>70</v>
      </c>
      <c r="F164">
        <v>0.43796299999999999</v>
      </c>
      <c r="G164">
        <v>10</v>
      </c>
    </row>
    <row r="165" spans="1:7" x14ac:dyDescent="0.25">
      <c r="A165">
        <v>2</v>
      </c>
      <c r="B165">
        <v>4</v>
      </c>
      <c r="C165">
        <v>16</v>
      </c>
      <c r="D165">
        <v>1904</v>
      </c>
      <c r="E165" t="s">
        <v>70</v>
      </c>
      <c r="F165">
        <v>0.42591699999999999</v>
      </c>
      <c r="G165">
        <v>11</v>
      </c>
    </row>
    <row r="166" spans="1:7" x14ac:dyDescent="0.25">
      <c r="A166">
        <v>2</v>
      </c>
      <c r="B166">
        <v>4</v>
      </c>
      <c r="C166">
        <v>16</v>
      </c>
      <c r="D166">
        <v>1904</v>
      </c>
      <c r="E166" t="s">
        <v>70</v>
      </c>
      <c r="F166">
        <v>0.41769699999999998</v>
      </c>
      <c r="G166">
        <v>12</v>
      </c>
    </row>
    <row r="167" spans="1:7" x14ac:dyDescent="0.25">
      <c r="A167">
        <v>2</v>
      </c>
      <c r="B167">
        <v>4</v>
      </c>
      <c r="C167">
        <v>16</v>
      </c>
      <c r="D167">
        <v>1904</v>
      </c>
      <c r="E167" t="s">
        <v>70</v>
      </c>
      <c r="F167">
        <v>0.41078999999999999</v>
      </c>
      <c r="G167">
        <v>13</v>
      </c>
    </row>
    <row r="168" spans="1:7" x14ac:dyDescent="0.25">
      <c r="A168">
        <v>2</v>
      </c>
      <c r="B168">
        <v>4</v>
      </c>
      <c r="C168">
        <v>16</v>
      </c>
      <c r="D168">
        <v>1904</v>
      </c>
      <c r="E168" t="s">
        <v>70</v>
      </c>
      <c r="F168">
        <v>0.40414600000000001</v>
      </c>
      <c r="G168">
        <v>14</v>
      </c>
    </row>
    <row r="169" spans="1:7" x14ac:dyDescent="0.25">
      <c r="A169">
        <v>2</v>
      </c>
      <c r="B169">
        <v>4</v>
      </c>
      <c r="C169">
        <v>16</v>
      </c>
      <c r="D169">
        <v>1904</v>
      </c>
      <c r="E169" t="s">
        <v>70</v>
      </c>
      <c r="F169">
        <v>0.39693899999999999</v>
      </c>
      <c r="G169">
        <v>15</v>
      </c>
    </row>
    <row r="170" spans="1:7" x14ac:dyDescent="0.25">
      <c r="A170">
        <v>2</v>
      </c>
      <c r="B170">
        <v>4</v>
      </c>
      <c r="C170">
        <v>16</v>
      </c>
      <c r="D170">
        <v>1904</v>
      </c>
      <c r="E170" t="s">
        <v>70</v>
      </c>
      <c r="F170">
        <v>0.39359899999999998</v>
      </c>
      <c r="G170">
        <v>16</v>
      </c>
    </row>
    <row r="171" spans="1:7" x14ac:dyDescent="0.25">
      <c r="A171">
        <v>2</v>
      </c>
      <c r="B171">
        <v>4</v>
      </c>
      <c r="C171">
        <v>16</v>
      </c>
      <c r="D171">
        <v>1904</v>
      </c>
      <c r="E171" t="s">
        <v>70</v>
      </c>
      <c r="F171">
        <v>0.38913300000000001</v>
      </c>
      <c r="G171">
        <v>17</v>
      </c>
    </row>
    <row r="172" spans="1:7" x14ac:dyDescent="0.25">
      <c r="A172">
        <v>2</v>
      </c>
      <c r="B172">
        <v>4</v>
      </c>
      <c r="C172">
        <v>16</v>
      </c>
      <c r="D172">
        <v>1904</v>
      </c>
      <c r="E172" t="s">
        <v>70</v>
      </c>
      <c r="F172">
        <v>0.38587500000000002</v>
      </c>
      <c r="G172">
        <v>18</v>
      </c>
    </row>
    <row r="173" spans="1:7" x14ac:dyDescent="0.25">
      <c r="A173">
        <v>2</v>
      </c>
      <c r="B173">
        <v>4</v>
      </c>
      <c r="C173">
        <v>16</v>
      </c>
      <c r="D173">
        <v>1904</v>
      </c>
      <c r="E173" t="s">
        <v>70</v>
      </c>
      <c r="F173">
        <v>0.384218</v>
      </c>
      <c r="G173">
        <v>19</v>
      </c>
    </row>
    <row r="174" spans="1:7" x14ac:dyDescent="0.25">
      <c r="A174">
        <v>2</v>
      </c>
      <c r="B174">
        <v>4</v>
      </c>
      <c r="C174">
        <v>16</v>
      </c>
      <c r="D174">
        <v>1904</v>
      </c>
      <c r="E174" t="s">
        <v>70</v>
      </c>
      <c r="F174">
        <v>0.38242399999999999</v>
      </c>
      <c r="G174">
        <v>20</v>
      </c>
    </row>
    <row r="175" spans="1:7" x14ac:dyDescent="0.25">
      <c r="A175">
        <v>2</v>
      </c>
      <c r="B175">
        <v>4</v>
      </c>
      <c r="C175">
        <v>16</v>
      </c>
      <c r="D175">
        <v>937</v>
      </c>
      <c r="E175" t="s">
        <v>59</v>
      </c>
      <c r="F175">
        <v>0.73970000000000002</v>
      </c>
      <c r="G175">
        <v>2</v>
      </c>
    </row>
    <row r="176" spans="1:7" x14ac:dyDescent="0.25">
      <c r="A176">
        <v>2</v>
      </c>
      <c r="B176">
        <v>4</v>
      </c>
      <c r="C176">
        <v>16</v>
      </c>
      <c r="D176">
        <v>937</v>
      </c>
      <c r="E176" t="s">
        <v>59</v>
      </c>
      <c r="F176">
        <v>0.62065000000000003</v>
      </c>
      <c r="G176">
        <v>3</v>
      </c>
    </row>
    <row r="177" spans="1:7" x14ac:dyDescent="0.25">
      <c r="A177">
        <v>2</v>
      </c>
      <c r="B177">
        <v>4</v>
      </c>
      <c r="C177">
        <v>16</v>
      </c>
      <c r="D177">
        <v>937</v>
      </c>
      <c r="E177" t="s">
        <v>59</v>
      </c>
      <c r="F177">
        <v>0.53709300000000004</v>
      </c>
      <c r="G177">
        <v>4</v>
      </c>
    </row>
    <row r="178" spans="1:7" x14ac:dyDescent="0.25">
      <c r="A178">
        <v>2</v>
      </c>
      <c r="B178">
        <v>4</v>
      </c>
      <c r="C178">
        <v>16</v>
      </c>
      <c r="D178">
        <v>937</v>
      </c>
      <c r="E178" t="s">
        <v>59</v>
      </c>
      <c r="F178">
        <v>0.49893900000000002</v>
      </c>
      <c r="G178">
        <v>5</v>
      </c>
    </row>
    <row r="179" spans="1:7" x14ac:dyDescent="0.25">
      <c r="A179">
        <v>2</v>
      </c>
      <c r="B179">
        <v>4</v>
      </c>
      <c r="C179">
        <v>16</v>
      </c>
      <c r="D179">
        <v>937</v>
      </c>
      <c r="E179" t="s">
        <v>59</v>
      </c>
      <c r="F179">
        <v>0.46834799999999999</v>
      </c>
      <c r="G179">
        <v>6</v>
      </c>
    </row>
    <row r="180" spans="1:7" x14ac:dyDescent="0.25">
      <c r="A180">
        <v>2</v>
      </c>
      <c r="B180">
        <v>4</v>
      </c>
      <c r="C180">
        <v>16</v>
      </c>
      <c r="D180">
        <v>937</v>
      </c>
      <c r="E180" t="s">
        <v>59</v>
      </c>
      <c r="F180">
        <v>0.44864399999999999</v>
      </c>
      <c r="G180">
        <v>7</v>
      </c>
    </row>
    <row r="181" spans="1:7" x14ac:dyDescent="0.25">
      <c r="A181">
        <v>2</v>
      </c>
      <c r="B181">
        <v>4</v>
      </c>
      <c r="C181">
        <v>16</v>
      </c>
      <c r="D181">
        <v>937</v>
      </c>
      <c r="E181" t="s">
        <v>59</v>
      </c>
      <c r="F181">
        <v>0.39418300000000001</v>
      </c>
      <c r="G181">
        <v>11</v>
      </c>
    </row>
    <row r="182" spans="1:7" x14ac:dyDescent="0.25">
      <c r="A182">
        <v>2</v>
      </c>
      <c r="B182">
        <v>4</v>
      </c>
      <c r="C182">
        <v>16</v>
      </c>
      <c r="D182">
        <v>937</v>
      </c>
      <c r="E182" t="s">
        <v>59</v>
      </c>
      <c r="F182">
        <v>0.43073099999999998</v>
      </c>
      <c r="G182">
        <v>8</v>
      </c>
    </row>
    <row r="183" spans="1:7" x14ac:dyDescent="0.25">
      <c r="A183">
        <v>2</v>
      </c>
      <c r="B183">
        <v>4</v>
      </c>
      <c r="C183">
        <v>16</v>
      </c>
      <c r="D183">
        <v>937</v>
      </c>
      <c r="E183" t="s">
        <v>59</v>
      </c>
      <c r="F183">
        <v>0.38212400000000002</v>
      </c>
      <c r="G183">
        <v>12</v>
      </c>
    </row>
    <row r="184" spans="1:7" x14ac:dyDescent="0.25">
      <c r="A184">
        <v>2</v>
      </c>
      <c r="B184">
        <v>4</v>
      </c>
      <c r="C184">
        <v>16</v>
      </c>
      <c r="D184">
        <v>937</v>
      </c>
      <c r="E184" t="s">
        <v>59</v>
      </c>
      <c r="F184">
        <v>0.41649599999999998</v>
      </c>
      <c r="G184">
        <v>9</v>
      </c>
    </row>
    <row r="185" spans="1:7" x14ac:dyDescent="0.25">
      <c r="A185">
        <v>2</v>
      </c>
      <c r="B185">
        <v>4</v>
      </c>
      <c r="C185">
        <v>16</v>
      </c>
      <c r="D185">
        <v>937</v>
      </c>
      <c r="E185" t="s">
        <v>59</v>
      </c>
      <c r="F185">
        <v>0.37715100000000001</v>
      </c>
      <c r="G185">
        <v>13</v>
      </c>
    </row>
    <row r="186" spans="1:7" x14ac:dyDescent="0.25">
      <c r="A186">
        <v>2</v>
      </c>
      <c r="B186">
        <v>4</v>
      </c>
      <c r="C186">
        <v>16</v>
      </c>
      <c r="D186">
        <v>937</v>
      </c>
      <c r="E186" t="s">
        <v>59</v>
      </c>
      <c r="F186">
        <v>0.37067899999999998</v>
      </c>
      <c r="G186">
        <v>14</v>
      </c>
    </row>
    <row r="187" spans="1:7" x14ac:dyDescent="0.25">
      <c r="A187">
        <v>2</v>
      </c>
      <c r="B187">
        <v>4</v>
      </c>
      <c r="C187">
        <v>16</v>
      </c>
      <c r="D187">
        <v>937</v>
      </c>
      <c r="E187" t="s">
        <v>59</v>
      </c>
      <c r="F187">
        <v>0.404032</v>
      </c>
      <c r="G187">
        <v>10</v>
      </c>
    </row>
    <row r="188" spans="1:7" x14ac:dyDescent="0.25">
      <c r="A188">
        <v>2</v>
      </c>
      <c r="B188">
        <v>4</v>
      </c>
      <c r="C188">
        <v>16</v>
      </c>
      <c r="D188">
        <v>937</v>
      </c>
      <c r="E188" t="s">
        <v>59</v>
      </c>
      <c r="F188">
        <v>0.36634899999999998</v>
      </c>
      <c r="G188">
        <v>15</v>
      </c>
    </row>
    <row r="189" spans="1:7" x14ac:dyDescent="0.25">
      <c r="A189">
        <v>2</v>
      </c>
      <c r="B189">
        <v>4</v>
      </c>
      <c r="C189">
        <v>16</v>
      </c>
      <c r="D189">
        <v>937</v>
      </c>
      <c r="E189" t="s">
        <v>59</v>
      </c>
      <c r="F189">
        <v>0.36274499999999998</v>
      </c>
      <c r="G189">
        <v>16</v>
      </c>
    </row>
    <row r="190" spans="1:7" x14ac:dyDescent="0.25">
      <c r="A190">
        <v>2</v>
      </c>
      <c r="B190">
        <v>4</v>
      </c>
      <c r="C190">
        <v>16</v>
      </c>
      <c r="D190">
        <v>937</v>
      </c>
      <c r="E190" t="s">
        <v>59</v>
      </c>
      <c r="F190">
        <v>0.36036600000000002</v>
      </c>
      <c r="G190">
        <v>17</v>
      </c>
    </row>
    <row r="191" spans="1:7" x14ac:dyDescent="0.25">
      <c r="A191">
        <v>2</v>
      </c>
      <c r="B191">
        <v>4</v>
      </c>
      <c r="C191">
        <v>16</v>
      </c>
      <c r="D191">
        <v>937</v>
      </c>
      <c r="E191" t="s">
        <v>59</v>
      </c>
      <c r="F191">
        <v>0.35798799999999997</v>
      </c>
      <c r="G191">
        <v>18</v>
      </c>
    </row>
    <row r="192" spans="1:7" x14ac:dyDescent="0.25">
      <c r="A192">
        <v>2</v>
      </c>
      <c r="B192">
        <v>4</v>
      </c>
      <c r="C192">
        <v>16</v>
      </c>
      <c r="D192">
        <v>937</v>
      </c>
      <c r="E192" t="s">
        <v>59</v>
      </c>
      <c r="F192">
        <v>0.35597099999999998</v>
      </c>
      <c r="G192">
        <v>19</v>
      </c>
    </row>
    <row r="193" spans="1:7" x14ac:dyDescent="0.25">
      <c r="A193">
        <v>2</v>
      </c>
      <c r="B193">
        <v>4</v>
      </c>
      <c r="C193">
        <v>16</v>
      </c>
      <c r="D193">
        <v>937</v>
      </c>
      <c r="E193" t="s">
        <v>59</v>
      </c>
      <c r="F193">
        <v>0.35427500000000001</v>
      </c>
      <c r="G19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40</vt:lpstr>
      <vt:lpstr>23</vt:lpstr>
      <vt:lpstr>34</vt:lpstr>
      <vt:lpstr>61</vt:lpstr>
      <vt:lpstr>28</vt:lpstr>
      <vt:lpstr>33</vt:lpstr>
      <vt:lpstr>02</vt:lpstr>
      <vt:lpstr>04</vt:lpstr>
      <vt:lpstr>60</vt:lpstr>
      <vt:lpstr>45</vt:lpstr>
      <vt:lpstr>RunsForUnusedSpaceFigure1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Pirmin Fontaine</dc:creator>
  <cp:lastModifiedBy>Pirmin Fontaine</cp:lastModifiedBy>
  <cp:lastPrinted>2026-01-04T19:18:47Z</cp:lastPrinted>
  <dcterms:created xsi:type="dcterms:W3CDTF">2024-12-06T17:31:24Z</dcterms:created>
  <dcterms:modified xsi:type="dcterms:W3CDTF">2026-01-08T15:58:45Z</dcterms:modified>
</cp:coreProperties>
</file>