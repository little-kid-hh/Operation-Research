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wa832\Documents\01_GitRepos\myRepo\publications\2022\S3DBSP\results\"/>
    </mc:Choice>
  </mc:AlternateContent>
  <xr:revisionPtr revIDLastSave="0" documentId="13_ncr:1_{A511FCEB-54E5-4660-8367-F661F1CE3199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Description" sheetId="26" r:id="rId1"/>
    <sheet name="FinalPivotCleanRun" sheetId="13" r:id="rId2"/>
    <sheet name="CleanRunsFinal" sheetId="12" r:id="rId3"/>
  </sheets>
  <definedNames>
    <definedName name="_xlnm._FilterDatabase" localSheetId="2" hidden="1">CleanRunsFinal!$A$1:$J$87</definedName>
  </definedNames>
  <calcPr calcId="191029"/>
  <pivotCaches>
    <pivotCache cacheId="26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0" i="13" l="1"/>
  <c r="K57" i="13"/>
  <c r="O57" i="13"/>
  <c r="M92" i="13"/>
  <c r="N57" i="13"/>
  <c r="P57" i="13"/>
  <c r="M91" i="13"/>
  <c r="L57" i="13"/>
  <c r="M57" i="13"/>
  <c r="Q57" i="13"/>
  <c r="M89" i="13"/>
  <c r="M93" i="13"/>
  <c r="N65" i="13" l="1"/>
  <c r="N67" i="13"/>
  <c r="N64" i="13"/>
  <c r="N62" i="13"/>
  <c r="N68" i="13"/>
  <c r="N63" i="13"/>
  <c r="N66" i="13"/>
  <c r="L62" i="13" l="1"/>
  <c r="J68" i="13"/>
  <c r="J67" i="13"/>
  <c r="J66" i="13"/>
  <c r="J65" i="13"/>
  <c r="J64" i="13"/>
  <c r="J63" i="13"/>
  <c r="J62" i="13"/>
  <c r="M61" i="13"/>
  <c r="L61" i="13"/>
  <c r="K61" i="13"/>
  <c r="L93" i="13"/>
  <c r="N93" i="13"/>
  <c r="K16" i="13" l="1"/>
  <c r="K17" i="13"/>
  <c r="K18" i="13"/>
  <c r="K19" i="13"/>
  <c r="K20" i="13"/>
  <c r="K21" i="13"/>
  <c r="K15" i="13"/>
  <c r="N18" i="13"/>
  <c r="N15" i="13"/>
  <c r="L89" i="13"/>
  <c r="M15" i="13"/>
  <c r="P54" i="13"/>
  <c r="N92" i="13"/>
  <c r="L18" i="13"/>
  <c r="N19" i="13"/>
  <c r="L90" i="13"/>
  <c r="N17" i="13"/>
  <c r="L19" i="13"/>
  <c r="L15" i="13"/>
  <c r="N20" i="13"/>
  <c r="M21" i="13"/>
  <c r="L91" i="13"/>
  <c r="L92" i="13"/>
  <c r="N91" i="13"/>
  <c r="N90" i="13"/>
  <c r="N21" i="13"/>
  <c r="M16" i="13"/>
  <c r="L20" i="13"/>
  <c r="L21" i="13"/>
  <c r="M20" i="13"/>
  <c r="M18" i="13"/>
  <c r="M19" i="13"/>
  <c r="M17" i="13"/>
  <c r="P56" i="13"/>
  <c r="L17" i="13"/>
  <c r="N89" i="13"/>
  <c r="N16" i="13"/>
  <c r="K67" i="13" l="1"/>
  <c r="M67" i="13"/>
  <c r="O56" i="13"/>
  <c r="K56" i="13"/>
  <c r="N54" i="13"/>
  <c r="K54" i="13"/>
  <c r="M56" i="13"/>
  <c r="L16" i="13"/>
  <c r="O54" i="13"/>
  <c r="N56" i="13"/>
  <c r="M54" i="13"/>
  <c r="L54" i="13"/>
  <c r="Q56" i="13"/>
  <c r="Q54" i="13"/>
  <c r="K63" i="13" l="1"/>
  <c r="M68" i="13"/>
  <c r="K68" i="13"/>
  <c r="M65" i="13"/>
  <c r="M64" i="13"/>
  <c r="K64" i="13"/>
  <c r="M66" i="13"/>
  <c r="M62" i="13"/>
  <c r="K62" i="13"/>
  <c r="K65" i="13"/>
  <c r="K66" i="13"/>
  <c r="Q55" i="13"/>
  <c r="L68" i="13" s="1"/>
  <c r="L55" i="13"/>
  <c r="L63" i="13" s="1"/>
  <c r="M55" i="13"/>
  <c r="L64" i="13" s="1"/>
  <c r="N55" i="13"/>
  <c r="L65" i="13" s="1"/>
  <c r="O55" i="13"/>
  <c r="L66" i="13" s="1"/>
  <c r="P55" i="13"/>
  <c r="L67" i="13" s="1"/>
  <c r="L56" i="13"/>
  <c r="M63" i="13" l="1"/>
</calcChain>
</file>

<file path=xl/sharedStrings.xml><?xml version="1.0" encoding="utf-8"?>
<sst xmlns="http://schemas.openxmlformats.org/spreadsheetml/2006/main" count="157" uniqueCount="72">
  <si>
    <t>datasets/BSP_100_O6_2.xml</t>
  </si>
  <si>
    <t>datasets/BSP_100_O6_1.xml</t>
  </si>
  <si>
    <t>datasets/BSP_100_O6_3.xml</t>
  </si>
  <si>
    <t>gap</t>
  </si>
  <si>
    <t>datasets/BSP_300_O6_1.xml</t>
  </si>
  <si>
    <t>datasets/BSP_300_O6_3.xml</t>
  </si>
  <si>
    <t>datasets/BSP_300_O6_2.xml</t>
  </si>
  <si>
    <t>datasets/BSP_100_O6_4.xml</t>
  </si>
  <si>
    <t>datasets/BSP_100_O6_0.xml</t>
  </si>
  <si>
    <t>datasets/BSP_200_O6_1.xml</t>
  </si>
  <si>
    <t>datasets/BSP_200_O6_2.xml</t>
  </si>
  <si>
    <t>datasets/BSP_200_O6_3.xml</t>
  </si>
  <si>
    <t>datasets/BSP_200_O6_4.xml</t>
  </si>
  <si>
    <t>datasets/BSP_200_O6_0.xml</t>
  </si>
  <si>
    <t>datasets/BSP_300_O6_4.xml</t>
  </si>
  <si>
    <t>datasets/BSP_300_O6_0.xml</t>
  </si>
  <si>
    <t>datasets/BSP_400_O6_0.xml</t>
  </si>
  <si>
    <t>datasets/BSP_400_O6_1.xml</t>
  </si>
  <si>
    <t>datasets/BSP_400_O6_3.xml</t>
  </si>
  <si>
    <t>datasets/BSP_400_O6_4.xml</t>
  </si>
  <si>
    <t>datasets/BSP_400_O6_2.xml</t>
  </si>
  <si>
    <t>sper stage</t>
  </si>
  <si>
    <t>stage</t>
  </si>
  <si>
    <t>scenarios</t>
  </si>
  <si>
    <t>demand</t>
  </si>
  <si>
    <t>parcels</t>
  </si>
  <si>
    <t>datafile</t>
  </si>
  <si>
    <t>mode</t>
  </si>
  <si>
    <t>finGapClean</t>
  </si>
  <si>
    <t>finalTimeClearn</t>
  </si>
  <si>
    <t>Average of finalTimeClearn</t>
  </si>
  <si>
    <t>Average of finGapClean</t>
  </si>
  <si>
    <t>isOptInTime</t>
  </si>
  <si>
    <t>Count of isOptInTime</t>
  </si>
  <si>
    <t>Sum of isOptInTime2</t>
  </si>
  <si>
    <t>alpha=3</t>
  </si>
  <si>
    <t>alpha=4</t>
  </si>
  <si>
    <t>always ReOpt Repair</t>
  </si>
  <si>
    <t>only Shift Repair</t>
  </si>
  <si>
    <t>no Repair</t>
  </si>
  <si>
    <t>alpha=5</t>
  </si>
  <si>
    <t>avg time</t>
  </si>
  <si>
    <t># opt / # total</t>
  </si>
  <si>
    <t>Mode Analysis</t>
  </si>
  <si>
    <t>|D|</t>
  </si>
  <si>
    <t>opt</t>
  </si>
  <si>
    <t>T</t>
  </si>
  <si>
    <t>S</t>
  </si>
  <si>
    <t>alpha=2</t>
  </si>
  <si>
    <t>impr.  [in %]</t>
  </si>
  <si>
    <t>avg time [in sec]</t>
  </si>
  <si>
    <t xml:space="preserve"> -</t>
  </si>
  <si>
    <t>datasets/BSP_500_O6_0.xml</t>
  </si>
  <si>
    <t>datasets/BSP_500_O6_1.xml</t>
  </si>
  <si>
    <t>datasets/BSP_500_O6_2.xml</t>
  </si>
  <si>
    <t>datasets/BSP_500_O6_3.xml</t>
  </si>
  <si>
    <t>datasets/BSP_500_O6_4.xml</t>
  </si>
  <si>
    <t>Row Labels</t>
  </si>
  <si>
    <t>Grand Total</t>
  </si>
  <si>
    <t>(All)</t>
  </si>
  <si>
    <t>avg gap [in %]</t>
  </si>
  <si>
    <t>avg gap [in%]</t>
  </si>
  <si>
    <t>codesInAlgo</t>
  </si>
  <si>
    <t>This file contains the final results with the clean code without debugging mode</t>
  </si>
  <si>
    <t>the basic data file was used and then loaded in different scenario settings. More over the algorithm setting was adjusted to test the performance</t>
  </si>
  <si>
    <t>mode 2 is the default mode that uses ReOpt Repair every second time</t>
  </si>
  <si>
    <t>All other Modes are shown in the Pivot Table</t>
  </si>
  <si>
    <t>The Pivot Sheet shows the aggregated version of the results as shown in the paper</t>
  </si>
  <si>
    <t>finalGap reported 0 in case the algorithm was stopped within the 1% gap.</t>
  </si>
  <si>
    <t>Table 2</t>
  </si>
  <si>
    <t>Table 1</t>
  </si>
  <si>
    <t>Table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</si>
</sst>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17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1" fontId="0" fillId="0" borderId="0" xfId="0" applyNumberFormat="1"/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2" fontId="0" fillId="0" borderId="0" xfId="0" applyNumberFormat="1"/>
    <xf numFmtId="3" fontId="0" fillId="0" borderId="0" xfId="0" applyNumberFormat="1"/>
    <xf numFmtId="0" fontId="2" fillId="0" borderId="0" xfId="0" applyFont="1"/>
    <xf numFmtId="0" fontId="1" fillId="0" borderId="0" xfId="1" applyFill="1"/>
    <xf numFmtId="0" fontId="0" fillId="3" borderId="0" xfId="0" applyFill="1"/>
    <xf numFmtId="1" fontId="0" fillId="3" borderId="0" xfId="0" applyNumberFormat="1" applyFill="1"/>
    <xf numFmtId="2" fontId="0" fillId="3" borderId="0" xfId="0" applyNumberFormat="1" applyFill="1"/>
    <xf numFmtId="164" fontId="0" fillId="3" borderId="0" xfId="0" applyNumberFormat="1" applyFill="1"/>
    <xf numFmtId="0" fontId="0" fillId="0" borderId="0" xfId="0" applyNumberFormat="1"/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ontaine, Pirmin" refreshedDate="46042.391282407407" createdVersion="8" refreshedVersion="8" minRefreshableVersion="3" recordCount="96" xr:uid="{5A60221B-7E2A-4073-AD46-3DCDDA44432A}">
  <cacheSource type="worksheet">
    <worksheetSource ref="A1:J1048576" sheet="CleanRunsFinal"/>
  </cacheSource>
  <cacheFields count="10">
    <cacheField name="sper stage" numFmtId="0">
      <sharedItems containsString="0" containsBlank="1" containsNumber="1" containsInteger="1" minValue="2" maxValue="3" count="3">
        <n v="2"/>
        <n v="3"/>
        <m/>
      </sharedItems>
    </cacheField>
    <cacheField name="stage" numFmtId="0">
      <sharedItems containsString="0" containsBlank="1" containsNumber="1" containsInteger="1" minValue="4" maxValue="8" count="6">
        <n v="6"/>
        <n v="5"/>
        <n v="4"/>
        <n v="7"/>
        <n v="8"/>
        <m/>
      </sharedItems>
    </cacheField>
    <cacheField name="scenarios" numFmtId="0">
      <sharedItems containsString="0" containsBlank="1" containsNumber="1" containsInteger="1" minValue="16" maxValue="256" count="8">
        <n v="64"/>
        <n v="32"/>
        <n v="16"/>
        <n v="81"/>
        <n v="128"/>
        <n v="243"/>
        <n v="256"/>
        <m/>
      </sharedItems>
    </cacheField>
    <cacheField name="demand" numFmtId="0">
      <sharedItems containsString="0" containsBlank="1" containsNumber="1" containsInteger="1" minValue="100" maxValue="500" count="6">
        <n v="100"/>
        <n v="300"/>
        <n v="400"/>
        <n v="200"/>
        <n v="500"/>
        <m/>
      </sharedItems>
    </cacheField>
    <cacheField name="parcels" numFmtId="0">
      <sharedItems containsString="0" containsBlank="1" containsNumber="1" containsInteger="1" minValue="90" maxValue="90"/>
    </cacheField>
    <cacheField name="datafile" numFmtId="0">
      <sharedItems containsBlank="1"/>
    </cacheField>
    <cacheField name="mode" numFmtId="0">
      <sharedItems containsString="0" containsBlank="1" containsNumber="1" containsInteger="1" minValue="2" maxValue="555555" count="8">
        <n v="555555"/>
        <n v="4"/>
        <n v="10000"/>
        <n v="2"/>
        <n v="5"/>
        <n v="3"/>
        <n v="1000"/>
        <m/>
      </sharedItems>
    </cacheField>
    <cacheField name="finGapClean" numFmtId="0">
      <sharedItems containsString="0" containsBlank="1" containsNumber="1" minValue="0" maxValue="0.93710899999999997"/>
    </cacheField>
    <cacheField name="finalTimeClearn" numFmtId="0">
      <sharedItems containsString="0" containsBlank="1" containsNumber="1" minValue="63.561199999999999" maxValue="14400"/>
    </cacheField>
    <cacheField name="isOptInTime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6">
  <r>
    <x v="0"/>
    <x v="0"/>
    <x v="0"/>
    <x v="0"/>
    <n v="90"/>
    <s v="datasets/BSP_100_O6_0.xml"/>
    <x v="0"/>
    <n v="0"/>
    <n v="2457.2399999999998"/>
    <n v="1"/>
  </r>
  <r>
    <x v="0"/>
    <x v="0"/>
    <x v="0"/>
    <x v="0"/>
    <n v="90"/>
    <s v="datasets/BSP_100_O6_0.xml"/>
    <x v="1"/>
    <n v="0"/>
    <n v="3655.97"/>
    <n v="1"/>
  </r>
  <r>
    <x v="0"/>
    <x v="0"/>
    <x v="0"/>
    <x v="0"/>
    <n v="90"/>
    <s v="datasets/BSP_100_O6_1.xml"/>
    <x v="0"/>
    <n v="0"/>
    <n v="3770.57"/>
    <n v="1"/>
  </r>
  <r>
    <x v="0"/>
    <x v="0"/>
    <x v="0"/>
    <x v="0"/>
    <n v="90"/>
    <s v="datasets/BSP_100_O6_1.xml"/>
    <x v="1"/>
    <n v="0"/>
    <n v="3445"/>
    <n v="1"/>
  </r>
  <r>
    <x v="0"/>
    <x v="0"/>
    <x v="0"/>
    <x v="0"/>
    <n v="90"/>
    <s v="datasets/BSP_100_O6_0.xml"/>
    <x v="2"/>
    <n v="0"/>
    <n v="7613.19"/>
    <n v="1"/>
  </r>
  <r>
    <x v="0"/>
    <x v="0"/>
    <x v="0"/>
    <x v="0"/>
    <n v="90"/>
    <s v="datasets/BSP_100_O6_2.xml"/>
    <x v="0"/>
    <n v="0"/>
    <n v="3875.23"/>
    <n v="1"/>
  </r>
  <r>
    <x v="0"/>
    <x v="0"/>
    <x v="0"/>
    <x v="0"/>
    <n v="90"/>
    <s v="datasets/BSP_100_O6_3.xml"/>
    <x v="0"/>
    <n v="0"/>
    <n v="669.97699999999998"/>
    <n v="1"/>
  </r>
  <r>
    <x v="0"/>
    <x v="0"/>
    <x v="0"/>
    <x v="0"/>
    <n v="90"/>
    <s v="datasets/BSP_100_O6_2.xml"/>
    <x v="1"/>
    <n v="0"/>
    <n v="4031.64"/>
    <n v="1"/>
  </r>
  <r>
    <x v="0"/>
    <x v="0"/>
    <x v="0"/>
    <x v="0"/>
    <n v="90"/>
    <s v="datasets/BSP_100_O6_1.xml"/>
    <x v="2"/>
    <n v="0"/>
    <n v="3632.7"/>
    <n v="1"/>
  </r>
  <r>
    <x v="0"/>
    <x v="0"/>
    <x v="0"/>
    <x v="0"/>
    <n v="90"/>
    <s v="datasets/BSP_100_O6_3.xml"/>
    <x v="1"/>
    <n v="0"/>
    <n v="572.66899999999998"/>
    <n v="1"/>
  </r>
  <r>
    <x v="0"/>
    <x v="1"/>
    <x v="1"/>
    <x v="1"/>
    <n v="90"/>
    <s v="datasets/BSP_300_O6_0.xml"/>
    <x v="3"/>
    <n v="1.2456999999999999E-2"/>
    <n v="14400"/>
    <n v="0"/>
  </r>
  <r>
    <x v="0"/>
    <x v="0"/>
    <x v="0"/>
    <x v="0"/>
    <n v="90"/>
    <s v="datasets/BSP_100_O6_2.xml"/>
    <x v="2"/>
    <n v="0"/>
    <n v="6346.2"/>
    <n v="1"/>
  </r>
  <r>
    <x v="0"/>
    <x v="0"/>
    <x v="0"/>
    <x v="0"/>
    <n v="90"/>
    <s v="datasets/BSP_100_O6_3.xml"/>
    <x v="2"/>
    <n v="0"/>
    <n v="2641.42"/>
    <n v="1"/>
  </r>
  <r>
    <x v="0"/>
    <x v="0"/>
    <x v="0"/>
    <x v="0"/>
    <n v="90"/>
    <s v="datasets/BSP_100_O6_4.xml"/>
    <x v="0"/>
    <n v="1.36355E-2"/>
    <n v="14400"/>
    <n v="0"/>
  </r>
  <r>
    <x v="0"/>
    <x v="0"/>
    <x v="0"/>
    <x v="0"/>
    <n v="90"/>
    <s v="datasets/BSP_100_O6_4.xml"/>
    <x v="1"/>
    <n v="1.36355E-2"/>
    <n v="14400"/>
    <n v="0"/>
  </r>
  <r>
    <x v="0"/>
    <x v="0"/>
    <x v="0"/>
    <x v="0"/>
    <n v="90"/>
    <s v="datasets/BSP_100_O6_0.xml"/>
    <x v="4"/>
    <n v="0"/>
    <n v="3196.05"/>
    <n v="1"/>
  </r>
  <r>
    <x v="0"/>
    <x v="1"/>
    <x v="1"/>
    <x v="1"/>
    <n v="90"/>
    <s v="datasets/BSP_300_O6_1.xml"/>
    <x v="3"/>
    <n v="1.6143500000000002E-2"/>
    <n v="14400"/>
    <n v="0"/>
  </r>
  <r>
    <x v="0"/>
    <x v="0"/>
    <x v="0"/>
    <x v="0"/>
    <n v="90"/>
    <s v="datasets/BSP_100_O6_0.xml"/>
    <x v="5"/>
    <n v="0"/>
    <n v="3438.5"/>
    <n v="1"/>
  </r>
  <r>
    <x v="0"/>
    <x v="0"/>
    <x v="0"/>
    <x v="0"/>
    <n v="90"/>
    <s v="datasets/BSP_100_O6_1.xml"/>
    <x v="4"/>
    <n v="0"/>
    <n v="4341.72"/>
    <n v="1"/>
  </r>
  <r>
    <x v="0"/>
    <x v="0"/>
    <x v="0"/>
    <x v="0"/>
    <n v="90"/>
    <s v="datasets/BSP_100_O6_1.xml"/>
    <x v="5"/>
    <n v="0"/>
    <n v="3814.57"/>
    <n v="1"/>
  </r>
  <r>
    <x v="0"/>
    <x v="0"/>
    <x v="0"/>
    <x v="0"/>
    <n v="90"/>
    <s v="datasets/BSP_100_O6_4.xml"/>
    <x v="2"/>
    <n v="0.93710899999999997"/>
    <n v="14400"/>
    <n v="0"/>
  </r>
  <r>
    <x v="0"/>
    <x v="0"/>
    <x v="0"/>
    <x v="0"/>
    <n v="90"/>
    <s v="datasets/BSP_100_O6_2.xml"/>
    <x v="4"/>
    <n v="0"/>
    <n v="4703.2"/>
    <n v="1"/>
  </r>
  <r>
    <x v="0"/>
    <x v="0"/>
    <x v="0"/>
    <x v="0"/>
    <n v="90"/>
    <s v="datasets/BSP_100_O6_2.xml"/>
    <x v="5"/>
    <n v="0"/>
    <n v="4727.8"/>
    <n v="1"/>
  </r>
  <r>
    <x v="0"/>
    <x v="0"/>
    <x v="0"/>
    <x v="0"/>
    <n v="90"/>
    <s v="datasets/BSP_100_O6_3.xml"/>
    <x v="4"/>
    <n v="0"/>
    <n v="1076.54"/>
    <n v="1"/>
  </r>
  <r>
    <x v="0"/>
    <x v="0"/>
    <x v="0"/>
    <x v="0"/>
    <n v="90"/>
    <s v="datasets/BSP_100_O6_0.xml"/>
    <x v="6"/>
    <n v="0"/>
    <n v="3947.62"/>
    <n v="1"/>
  </r>
  <r>
    <x v="0"/>
    <x v="0"/>
    <x v="0"/>
    <x v="0"/>
    <n v="90"/>
    <s v="datasets/BSP_100_O6_3.xml"/>
    <x v="5"/>
    <n v="0"/>
    <n v="958.755"/>
    <n v="1"/>
  </r>
  <r>
    <x v="0"/>
    <x v="1"/>
    <x v="1"/>
    <x v="1"/>
    <n v="90"/>
    <s v="datasets/BSP_300_O6_2.xml"/>
    <x v="3"/>
    <n v="1.1174999999999999E-2"/>
    <n v="14400"/>
    <n v="0"/>
  </r>
  <r>
    <x v="0"/>
    <x v="0"/>
    <x v="0"/>
    <x v="0"/>
    <n v="90"/>
    <s v="datasets/BSP_100_O6_1.xml"/>
    <x v="6"/>
    <n v="0"/>
    <n v="5063.47"/>
    <n v="1"/>
  </r>
  <r>
    <x v="0"/>
    <x v="0"/>
    <x v="0"/>
    <x v="0"/>
    <n v="90"/>
    <s v="datasets/BSP_100_O6_2.xml"/>
    <x v="6"/>
    <n v="0"/>
    <n v="5012.4799999999996"/>
    <n v="1"/>
  </r>
  <r>
    <x v="0"/>
    <x v="0"/>
    <x v="0"/>
    <x v="0"/>
    <n v="90"/>
    <s v="datasets/BSP_100_O6_3.xml"/>
    <x v="6"/>
    <n v="0"/>
    <n v="794.05499999999995"/>
    <n v="1"/>
  </r>
  <r>
    <x v="0"/>
    <x v="0"/>
    <x v="0"/>
    <x v="0"/>
    <n v="90"/>
    <s v="datasets/BSP_100_O6_4.xml"/>
    <x v="4"/>
    <n v="1.36355E-2"/>
    <n v="14400"/>
    <n v="0"/>
  </r>
  <r>
    <x v="0"/>
    <x v="0"/>
    <x v="0"/>
    <x v="0"/>
    <n v="90"/>
    <s v="datasets/BSP_100_O6_4.xml"/>
    <x v="5"/>
    <n v="1.36355E-2"/>
    <n v="14400"/>
    <n v="0"/>
  </r>
  <r>
    <x v="0"/>
    <x v="0"/>
    <x v="0"/>
    <x v="0"/>
    <n v="90"/>
    <s v="datasets/BSP_100_O6_0.xml"/>
    <x v="3"/>
    <n v="0"/>
    <n v="2765.98"/>
    <n v="1"/>
  </r>
  <r>
    <x v="0"/>
    <x v="2"/>
    <x v="2"/>
    <x v="0"/>
    <n v="90"/>
    <s v="datasets/BSP_100_O6_0.xml"/>
    <x v="3"/>
    <n v="0"/>
    <n v="142.70400000000001"/>
    <n v="1"/>
  </r>
  <r>
    <x v="0"/>
    <x v="2"/>
    <x v="2"/>
    <x v="0"/>
    <n v="90"/>
    <s v="datasets/BSP_100_O6_1.xml"/>
    <x v="3"/>
    <n v="0"/>
    <n v="173.65100000000001"/>
    <n v="1"/>
  </r>
  <r>
    <x v="0"/>
    <x v="2"/>
    <x v="2"/>
    <x v="0"/>
    <n v="90"/>
    <s v="datasets/BSP_100_O6_2.xml"/>
    <x v="3"/>
    <n v="0"/>
    <n v="199.21100000000001"/>
    <n v="1"/>
  </r>
  <r>
    <x v="0"/>
    <x v="1"/>
    <x v="1"/>
    <x v="1"/>
    <n v="90"/>
    <s v="datasets/BSP_300_O6_3.xml"/>
    <x v="3"/>
    <n v="1.05413E-2"/>
    <n v="14400"/>
    <n v="0"/>
  </r>
  <r>
    <x v="0"/>
    <x v="2"/>
    <x v="2"/>
    <x v="0"/>
    <n v="90"/>
    <s v="datasets/BSP_100_O6_3.xml"/>
    <x v="3"/>
    <n v="0"/>
    <n v="63.561199999999999"/>
    <n v="1"/>
  </r>
  <r>
    <x v="0"/>
    <x v="2"/>
    <x v="2"/>
    <x v="0"/>
    <n v="90"/>
    <s v="datasets/BSP_100_O6_4.xml"/>
    <x v="3"/>
    <n v="0"/>
    <n v="279.61700000000002"/>
    <n v="1"/>
  </r>
  <r>
    <x v="0"/>
    <x v="1"/>
    <x v="1"/>
    <x v="0"/>
    <n v="90"/>
    <s v="datasets/BSP_100_O6_0.xml"/>
    <x v="3"/>
    <n v="0"/>
    <n v="460.21"/>
    <n v="1"/>
  </r>
  <r>
    <x v="0"/>
    <x v="1"/>
    <x v="1"/>
    <x v="0"/>
    <n v="90"/>
    <s v="datasets/BSP_100_O6_1.xml"/>
    <x v="3"/>
    <n v="0"/>
    <n v="427.06599999999997"/>
    <n v="1"/>
  </r>
  <r>
    <x v="0"/>
    <x v="0"/>
    <x v="0"/>
    <x v="0"/>
    <n v="90"/>
    <s v="datasets/BSP_100_O6_1.xml"/>
    <x v="3"/>
    <n v="0"/>
    <n v="3310.98"/>
    <n v="1"/>
  </r>
  <r>
    <x v="0"/>
    <x v="1"/>
    <x v="1"/>
    <x v="0"/>
    <n v="90"/>
    <s v="datasets/BSP_100_O6_2.xml"/>
    <x v="3"/>
    <n v="0"/>
    <n v="846.92399999999998"/>
    <n v="1"/>
  </r>
  <r>
    <x v="0"/>
    <x v="1"/>
    <x v="1"/>
    <x v="0"/>
    <n v="90"/>
    <s v="datasets/BSP_100_O6_3.xml"/>
    <x v="3"/>
    <n v="0"/>
    <n v="189.375"/>
    <n v="1"/>
  </r>
  <r>
    <x v="0"/>
    <x v="0"/>
    <x v="0"/>
    <x v="0"/>
    <n v="90"/>
    <s v="datasets/BSP_100_O6_4.xml"/>
    <x v="6"/>
    <n v="0"/>
    <n v="12514.5"/>
    <n v="1"/>
  </r>
  <r>
    <x v="0"/>
    <x v="0"/>
    <x v="0"/>
    <x v="0"/>
    <n v="90"/>
    <s v="datasets/BSP_100_O6_2.xml"/>
    <x v="3"/>
    <n v="0"/>
    <n v="3602.01"/>
    <n v="1"/>
  </r>
  <r>
    <x v="0"/>
    <x v="0"/>
    <x v="0"/>
    <x v="0"/>
    <n v="90"/>
    <s v="datasets/BSP_100_O6_3.xml"/>
    <x v="3"/>
    <n v="0"/>
    <n v="663.84400000000005"/>
    <n v="1"/>
  </r>
  <r>
    <x v="0"/>
    <x v="1"/>
    <x v="1"/>
    <x v="0"/>
    <n v="90"/>
    <s v="datasets/BSP_100_O6_4.xml"/>
    <x v="3"/>
    <n v="0"/>
    <n v="4618.8900000000003"/>
    <n v="1"/>
  </r>
  <r>
    <x v="0"/>
    <x v="1"/>
    <x v="1"/>
    <x v="1"/>
    <n v="90"/>
    <s v="datasets/BSP_300_O6_4.xml"/>
    <x v="3"/>
    <n v="0"/>
    <n v="13674.8"/>
    <n v="1"/>
  </r>
  <r>
    <x v="0"/>
    <x v="0"/>
    <x v="0"/>
    <x v="0"/>
    <n v="90"/>
    <s v="datasets/BSP_100_O6_4.xml"/>
    <x v="3"/>
    <n v="0"/>
    <n v="9801.7999999999993"/>
    <n v="1"/>
  </r>
  <r>
    <x v="0"/>
    <x v="1"/>
    <x v="1"/>
    <x v="2"/>
    <n v="90"/>
    <s v="datasets/BSP_400_O6_0.xml"/>
    <x v="3"/>
    <n v="1.7595199999999998E-2"/>
    <n v="14400"/>
    <n v="0"/>
  </r>
  <r>
    <x v="0"/>
    <x v="1"/>
    <x v="1"/>
    <x v="3"/>
    <n v="90"/>
    <s v="datasets/BSP_200_O6_1.xml"/>
    <x v="3"/>
    <n v="0"/>
    <n v="1669.86"/>
    <n v="1"/>
  </r>
  <r>
    <x v="1"/>
    <x v="2"/>
    <x v="3"/>
    <x v="0"/>
    <n v="90"/>
    <s v="datasets/BSP_100_O6_0.xml"/>
    <x v="3"/>
    <n v="0"/>
    <n v="2108.0100000000002"/>
    <n v="1"/>
  </r>
  <r>
    <x v="1"/>
    <x v="2"/>
    <x v="3"/>
    <x v="0"/>
    <n v="90"/>
    <s v="datasets/BSP_100_O6_1.xml"/>
    <x v="3"/>
    <n v="0"/>
    <n v="1215.45"/>
    <n v="1"/>
  </r>
  <r>
    <x v="1"/>
    <x v="2"/>
    <x v="3"/>
    <x v="0"/>
    <n v="90"/>
    <s v="datasets/BSP_100_O6_2.xml"/>
    <x v="3"/>
    <n v="0"/>
    <n v="5841.25"/>
    <n v="1"/>
  </r>
  <r>
    <x v="0"/>
    <x v="1"/>
    <x v="1"/>
    <x v="3"/>
    <n v="90"/>
    <s v="datasets/BSP_200_O6_2.xml"/>
    <x v="3"/>
    <n v="0"/>
    <n v="7782.12"/>
    <n v="1"/>
  </r>
  <r>
    <x v="1"/>
    <x v="2"/>
    <x v="3"/>
    <x v="0"/>
    <n v="90"/>
    <s v="datasets/BSP_100_O6_3.xml"/>
    <x v="3"/>
    <n v="0"/>
    <n v="507.565"/>
    <n v="1"/>
  </r>
  <r>
    <x v="0"/>
    <x v="1"/>
    <x v="1"/>
    <x v="2"/>
    <n v="90"/>
    <s v="datasets/BSP_400_O6_1.xml"/>
    <x v="3"/>
    <n v="8.8822499999999999E-2"/>
    <n v="14400"/>
    <n v="0"/>
  </r>
  <r>
    <x v="0"/>
    <x v="1"/>
    <x v="1"/>
    <x v="3"/>
    <n v="90"/>
    <s v="datasets/BSP_200_O6_3.xml"/>
    <x v="3"/>
    <n v="0"/>
    <n v="6795"/>
    <n v="1"/>
  </r>
  <r>
    <x v="0"/>
    <x v="3"/>
    <x v="4"/>
    <x v="0"/>
    <n v="90"/>
    <s v="datasets/BSP_100_O6_0.xml"/>
    <x v="3"/>
    <n v="0"/>
    <n v="5154.55"/>
    <n v="1"/>
  </r>
  <r>
    <x v="1"/>
    <x v="2"/>
    <x v="3"/>
    <x v="0"/>
    <n v="90"/>
    <s v="datasets/BSP_100_O6_4.xml"/>
    <x v="3"/>
    <n v="0"/>
    <n v="14221.6"/>
    <n v="1"/>
  </r>
  <r>
    <x v="0"/>
    <x v="1"/>
    <x v="1"/>
    <x v="2"/>
    <n v="90"/>
    <s v="datasets/BSP_400_O6_2.xml"/>
    <x v="3"/>
    <n v="0"/>
    <n v="11359.9"/>
    <n v="1"/>
  </r>
  <r>
    <x v="0"/>
    <x v="3"/>
    <x v="4"/>
    <x v="0"/>
    <n v="90"/>
    <s v="datasets/BSP_100_O6_1.xml"/>
    <x v="3"/>
    <n v="0"/>
    <n v="6697.99"/>
    <n v="1"/>
  </r>
  <r>
    <x v="0"/>
    <x v="1"/>
    <x v="1"/>
    <x v="2"/>
    <n v="90"/>
    <s v="datasets/BSP_400_O6_3.xml"/>
    <x v="3"/>
    <n v="4.2593300000000001E-2"/>
    <n v="14400"/>
    <n v="0"/>
  </r>
  <r>
    <x v="0"/>
    <x v="3"/>
    <x v="4"/>
    <x v="0"/>
    <n v="90"/>
    <s v="datasets/BSP_100_O6_2.xml"/>
    <x v="3"/>
    <n v="0"/>
    <n v="13362.3"/>
    <n v="1"/>
  </r>
  <r>
    <x v="0"/>
    <x v="1"/>
    <x v="1"/>
    <x v="3"/>
    <n v="90"/>
    <s v="datasets/BSP_200_O6_4.xml"/>
    <x v="3"/>
    <n v="0"/>
    <n v="14183"/>
    <n v="1"/>
  </r>
  <r>
    <x v="0"/>
    <x v="3"/>
    <x v="4"/>
    <x v="0"/>
    <n v="90"/>
    <s v="datasets/BSP_100_O6_3.xml"/>
    <x v="3"/>
    <n v="0"/>
    <n v="4574.2"/>
    <n v="1"/>
  </r>
  <r>
    <x v="0"/>
    <x v="1"/>
    <x v="1"/>
    <x v="2"/>
    <n v="90"/>
    <s v="datasets/BSP_400_O6_4.xml"/>
    <x v="3"/>
    <n v="1.6177299999999999E-2"/>
    <n v="14400"/>
    <n v="0"/>
  </r>
  <r>
    <x v="0"/>
    <x v="1"/>
    <x v="1"/>
    <x v="3"/>
    <n v="90"/>
    <s v="datasets/BSP_200_O6_0.xml"/>
    <x v="3"/>
    <n v="1.97547E-2"/>
    <n v="14400"/>
    <n v="0"/>
  </r>
  <r>
    <x v="0"/>
    <x v="3"/>
    <x v="4"/>
    <x v="0"/>
    <n v="90"/>
    <s v="datasets/BSP_100_O6_4.xml"/>
    <x v="3"/>
    <n v="2.4218900000000002E-2"/>
    <n v="14400"/>
    <n v="0"/>
  </r>
  <r>
    <x v="0"/>
    <x v="1"/>
    <x v="1"/>
    <x v="4"/>
    <n v="90"/>
    <s v="datasets/BSP_500_O6_0.xml"/>
    <x v="3"/>
    <n v="1.4578600000000001E-2"/>
    <n v="14400"/>
    <n v="0"/>
  </r>
  <r>
    <x v="1"/>
    <x v="1"/>
    <x v="5"/>
    <x v="0"/>
    <n v="90"/>
    <s v="datasets/BSP_100_O6_1.xml"/>
    <x v="3"/>
    <n v="1.8739100000000002E-2"/>
    <n v="14400"/>
    <n v="0"/>
  </r>
  <r>
    <x v="0"/>
    <x v="1"/>
    <x v="1"/>
    <x v="4"/>
    <n v="90"/>
    <s v="datasets/BSP_500_O6_1.xml"/>
    <x v="3"/>
    <n v="0.12709200000000001"/>
    <n v="14400"/>
    <n v="0"/>
  </r>
  <r>
    <x v="1"/>
    <x v="1"/>
    <x v="5"/>
    <x v="0"/>
    <n v="90"/>
    <s v="datasets/BSP_100_O6_2.xml"/>
    <x v="3"/>
    <n v="2.7588700000000001E-2"/>
    <n v="14400"/>
    <n v="0"/>
  </r>
  <r>
    <x v="1"/>
    <x v="1"/>
    <x v="5"/>
    <x v="0"/>
    <n v="90"/>
    <s v="datasets/BSP_100_O6_3.xml"/>
    <x v="3"/>
    <n v="0"/>
    <n v="4945.03"/>
    <n v="1"/>
  </r>
  <r>
    <x v="0"/>
    <x v="1"/>
    <x v="1"/>
    <x v="4"/>
    <n v="90"/>
    <s v="datasets/BSP_500_O6_2.xml"/>
    <x v="3"/>
    <n v="0.65180700000000003"/>
    <n v="14400"/>
    <n v="0"/>
  </r>
  <r>
    <x v="1"/>
    <x v="1"/>
    <x v="5"/>
    <x v="0"/>
    <n v="90"/>
    <s v="datasets/BSP_100_O6_4.xml"/>
    <x v="3"/>
    <n v="4.0082899999999998E-2"/>
    <n v="14400"/>
    <n v="0"/>
  </r>
  <r>
    <x v="0"/>
    <x v="1"/>
    <x v="1"/>
    <x v="4"/>
    <n v="90"/>
    <s v="datasets/BSP_500_O6_3.xml"/>
    <x v="3"/>
    <n v="1.1633299999999999E-2"/>
    <n v="14400"/>
    <n v="0"/>
  </r>
  <r>
    <x v="0"/>
    <x v="1"/>
    <x v="1"/>
    <x v="4"/>
    <n v="90"/>
    <s v="datasets/BSP_500_O6_4.xml"/>
    <x v="3"/>
    <n v="2.3841299999999999E-2"/>
    <n v="14400"/>
    <n v="0"/>
  </r>
  <r>
    <x v="1"/>
    <x v="1"/>
    <x v="5"/>
    <x v="0"/>
    <n v="90"/>
    <s v="datasets/BSP_100_O6_0.xml"/>
    <x v="3"/>
    <n v="0"/>
    <n v="5597.62"/>
    <n v="1"/>
  </r>
  <r>
    <x v="0"/>
    <x v="4"/>
    <x v="6"/>
    <x v="0"/>
    <n v="90"/>
    <s v="datasets/BSP_100_O6_1.xml"/>
    <x v="3"/>
    <n v="7.0765900000000007E-2"/>
    <n v="14400"/>
    <n v="0"/>
  </r>
  <r>
    <x v="0"/>
    <x v="4"/>
    <x v="6"/>
    <x v="0"/>
    <n v="90"/>
    <s v="datasets/BSP_100_O6_2.xml"/>
    <x v="3"/>
    <n v="3.1711000000000003E-2"/>
    <n v="14400"/>
    <n v="0"/>
  </r>
  <r>
    <x v="0"/>
    <x v="4"/>
    <x v="6"/>
    <x v="0"/>
    <n v="90"/>
    <s v="datasets/BSP_100_O6_3.xml"/>
    <x v="3"/>
    <n v="0"/>
    <n v="9593.67"/>
    <n v="1"/>
  </r>
  <r>
    <x v="0"/>
    <x v="4"/>
    <x v="6"/>
    <x v="0"/>
    <n v="90"/>
    <s v="datasets/BSP_100_O6_4.xml"/>
    <x v="3"/>
    <n v="4.36087E-2"/>
    <n v="14400"/>
    <n v="0"/>
  </r>
  <r>
    <x v="2"/>
    <x v="5"/>
    <x v="7"/>
    <x v="5"/>
    <m/>
    <m/>
    <x v="7"/>
    <m/>
    <m/>
    <m/>
  </r>
  <r>
    <x v="0"/>
    <x v="4"/>
    <x v="6"/>
    <x v="0"/>
    <n v="90"/>
    <s v="datasets/BSP_100_O6_0.xml"/>
    <x v="3"/>
    <n v="1.12269E-2"/>
    <n v="14400"/>
    <n v="0"/>
  </r>
  <r>
    <x v="2"/>
    <x v="5"/>
    <x v="7"/>
    <x v="5"/>
    <m/>
    <m/>
    <x v="7"/>
    <m/>
    <m/>
    <m/>
  </r>
  <r>
    <x v="2"/>
    <x v="5"/>
    <x v="7"/>
    <x v="5"/>
    <m/>
    <m/>
    <x v="7"/>
    <m/>
    <m/>
    <m/>
  </r>
  <r>
    <x v="2"/>
    <x v="5"/>
    <x v="7"/>
    <x v="5"/>
    <m/>
    <m/>
    <x v="7"/>
    <m/>
    <m/>
    <m/>
  </r>
  <r>
    <x v="2"/>
    <x v="5"/>
    <x v="7"/>
    <x v="5"/>
    <m/>
    <m/>
    <x v="7"/>
    <m/>
    <m/>
    <m/>
  </r>
  <r>
    <x v="2"/>
    <x v="5"/>
    <x v="7"/>
    <x v="5"/>
    <m/>
    <m/>
    <x v="7"/>
    <m/>
    <m/>
    <m/>
  </r>
  <r>
    <x v="2"/>
    <x v="5"/>
    <x v="7"/>
    <x v="5"/>
    <m/>
    <m/>
    <x v="7"/>
    <m/>
    <m/>
    <m/>
  </r>
  <r>
    <x v="2"/>
    <x v="5"/>
    <x v="7"/>
    <x v="5"/>
    <m/>
    <m/>
    <x v="7"/>
    <m/>
    <m/>
    <m/>
  </r>
  <r>
    <x v="2"/>
    <x v="5"/>
    <x v="7"/>
    <x v="5"/>
    <m/>
    <m/>
    <x v="7"/>
    <m/>
    <m/>
    <m/>
  </r>
  <r>
    <x v="2"/>
    <x v="5"/>
    <x v="7"/>
    <x v="5"/>
    <m/>
    <m/>
    <x v="7"/>
    <m/>
    <m/>
    <m/>
  </r>
  <r>
    <x v="2"/>
    <x v="5"/>
    <x v="7"/>
    <x v="5"/>
    <m/>
    <m/>
    <x v="7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44613B-FEF8-46F1-93C0-1A3342BBCF45}" name="PivotTable2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5:E40" firstHeaderRow="0" firstDataRow="1" firstDataCol="1" rowPageCount="1" colPageCount="1"/>
  <pivotFields count="10">
    <pivotField axis="axisRow" multipleItemSelectionAllowed="1" showAll="0">
      <items count="4">
        <item x="0"/>
        <item x="2"/>
        <item x="1"/>
        <item t="default"/>
      </items>
    </pivotField>
    <pivotField axis="axisRow" showAll="0">
      <items count="7">
        <item x="2"/>
        <item x="1"/>
        <item x="0"/>
        <item x="5"/>
        <item x="3"/>
        <item x="4"/>
        <item t="default"/>
      </items>
    </pivotField>
    <pivotField axis="axisRow" showAll="0">
      <items count="9">
        <item x="2"/>
        <item x="1"/>
        <item x="0"/>
        <item x="3"/>
        <item x="7"/>
        <item x="5"/>
        <item x="4"/>
        <item x="6"/>
        <item t="default"/>
      </items>
    </pivotField>
    <pivotField axis="axisRow" showAll="0">
      <items count="7">
        <item x="0"/>
        <item x="3"/>
        <item x="5"/>
        <item x="1"/>
        <item x="2"/>
        <item x="4"/>
        <item t="default"/>
      </items>
    </pivotField>
    <pivotField showAll="0"/>
    <pivotField showAll="0"/>
    <pivotField axis="axisPage" showAll="0">
      <items count="9">
        <item x="5"/>
        <item x="1"/>
        <item x="7"/>
        <item x="4"/>
        <item x="6"/>
        <item x="2"/>
        <item x="0"/>
        <item x="3"/>
        <item t="default"/>
      </items>
    </pivotField>
    <pivotField dataField="1" showAll="0"/>
    <pivotField dataField="1" showAll="0"/>
    <pivotField dataField="1" showAll="0"/>
  </pivotFields>
  <rowFields count="4">
    <field x="1"/>
    <field x="2"/>
    <field x="3"/>
    <field x="0"/>
  </rowFields>
  <rowItems count="35">
    <i>
      <x/>
    </i>
    <i r="1">
      <x/>
    </i>
    <i r="2">
      <x/>
    </i>
    <i r="3">
      <x/>
    </i>
    <i r="1">
      <x v="3"/>
    </i>
    <i r="2">
      <x/>
    </i>
    <i r="3">
      <x v="2"/>
    </i>
    <i>
      <x v="1"/>
    </i>
    <i r="1">
      <x v="1"/>
    </i>
    <i r="2">
      <x/>
    </i>
    <i r="3">
      <x/>
    </i>
    <i r="2">
      <x v="1"/>
    </i>
    <i r="3">
      <x/>
    </i>
    <i r="2">
      <x v="3"/>
    </i>
    <i r="3">
      <x/>
    </i>
    <i r="2">
      <x v="4"/>
    </i>
    <i r="3">
      <x/>
    </i>
    <i r="2">
      <x v="5"/>
    </i>
    <i r="3">
      <x/>
    </i>
    <i r="1">
      <x v="5"/>
    </i>
    <i r="2">
      <x/>
    </i>
    <i r="3">
      <x v="2"/>
    </i>
    <i>
      <x v="2"/>
    </i>
    <i r="1">
      <x v="2"/>
    </i>
    <i r="2">
      <x/>
    </i>
    <i r="3">
      <x/>
    </i>
    <i>
      <x v="4"/>
    </i>
    <i r="1">
      <x v="6"/>
    </i>
    <i r="2">
      <x/>
    </i>
    <i r="3">
      <x/>
    </i>
    <i>
      <x v="5"/>
    </i>
    <i r="1">
      <x v="7"/>
    </i>
    <i r="2">
      <x/>
    </i>
    <i r="3">
      <x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6" item="7" hier="-1"/>
  </pageFields>
  <dataFields count="4">
    <dataField name="Count of isOptInTime" fld="9" subtotal="count" baseField="0" baseItem="0"/>
    <dataField name="Sum of isOptInTime2" fld="9" baseField="1" baseItem="0"/>
    <dataField name="Average of finalTimeClearn" fld="8" subtotal="average" baseField="0" baseItem="0"/>
    <dataField name="Average of finGapClean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214C7D-3190-4722-A6B6-FD74E9A1CEC7}" name="PivotTable4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89:E95" firstHeaderRow="0" firstDataRow="1" firstDataCol="1" rowPageCount="4" colPageCount="1"/>
  <pivotFields count="10">
    <pivotField axis="axisPage" showAll="0">
      <items count="4">
        <item x="0"/>
        <item x="2"/>
        <item x="1"/>
        <item t="default"/>
      </items>
    </pivotField>
    <pivotField axis="axisPage" showAll="0">
      <items count="7">
        <item x="2"/>
        <item x="1"/>
        <item x="0"/>
        <item x="5"/>
        <item x="3"/>
        <item x="4"/>
        <item t="default"/>
      </items>
    </pivotField>
    <pivotField axis="axisPage" showAll="0">
      <items count="9">
        <item x="2"/>
        <item x="1"/>
        <item x="0"/>
        <item x="3"/>
        <item x="7"/>
        <item x="5"/>
        <item x="4"/>
        <item x="6"/>
        <item t="default"/>
      </items>
    </pivotField>
    <pivotField axis="axisRow" showAll="0">
      <items count="7">
        <item x="0"/>
        <item x="3"/>
        <item x="5"/>
        <item x="1"/>
        <item x="2"/>
        <item x="4"/>
        <item t="default"/>
      </items>
    </pivotField>
    <pivotField showAll="0"/>
    <pivotField showAll="0"/>
    <pivotField axis="axisPage" showAll="0">
      <items count="9">
        <item x="5"/>
        <item x="1"/>
        <item x="7"/>
        <item x="4"/>
        <item x="6"/>
        <item x="2"/>
        <item x="0"/>
        <item x="3"/>
        <item t="default"/>
      </items>
    </pivotField>
    <pivotField dataField="1" showAll="0"/>
    <pivotField dataField="1" showAll="0"/>
    <pivotField dataField="1" showAll="0"/>
  </pivotFields>
  <rowFields count="1">
    <field x="3"/>
  </rowFields>
  <rowItems count="6">
    <i>
      <x/>
    </i>
    <i>
      <x v="1"/>
    </i>
    <i>
      <x v="3"/>
    </i>
    <i>
      <x v="4"/>
    </i>
    <i>
      <x v="5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4">
    <pageField fld="6" item="7" hier="-1"/>
    <pageField fld="1" item="1" hier="-1"/>
    <pageField fld="0" item="0" hier="-1"/>
    <pageField fld="2" hier="-1"/>
  </pageFields>
  <dataFields count="4">
    <dataField name="Count of isOptInTime" fld="9" subtotal="count" baseField="0" baseItem="0"/>
    <dataField name="Sum of isOptInTime2" fld="9" baseField="1" baseItem="0"/>
    <dataField name="Average of finalTimeClearn" fld="8" subtotal="average" baseField="0" baseItem="0"/>
    <dataField name="Average of finGapClean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2BE0938-2CA9-43A2-9CB0-D1761D5AD248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54:E62" firstHeaderRow="0" firstDataRow="1" firstDataCol="1" rowPageCount="3" colPageCount="1"/>
  <pivotFields count="10">
    <pivotField axis="axisPage" showAll="0">
      <items count="4">
        <item x="0"/>
        <item x="2"/>
        <item x="1"/>
        <item t="default"/>
      </items>
    </pivotField>
    <pivotField axis="axisPage" showAll="0">
      <items count="7">
        <item x="2"/>
        <item x="1"/>
        <item x="0"/>
        <item x="5"/>
        <item x="3"/>
        <item x="4"/>
        <item t="default"/>
      </items>
    </pivotField>
    <pivotField showAll="0"/>
    <pivotField axis="axisPage" showAll="0">
      <items count="7">
        <item x="0"/>
        <item x="3"/>
        <item x="5"/>
        <item x="1"/>
        <item x="2"/>
        <item x="4"/>
        <item t="default"/>
      </items>
    </pivotField>
    <pivotField showAll="0"/>
    <pivotField multipleItemSelectionAllowed="1" showAll="0"/>
    <pivotField axis="axisRow" showAll="0">
      <items count="9">
        <item x="5"/>
        <item x="1"/>
        <item x="7"/>
        <item x="4"/>
        <item x="6"/>
        <item x="2"/>
        <item x="0"/>
        <item x="3"/>
        <item t="default"/>
      </items>
    </pivotField>
    <pivotField dataField="1" showAll="0"/>
    <pivotField dataField="1" showAll="0"/>
    <pivotField dataField="1" showAll="0"/>
  </pivotFields>
  <rowFields count="1">
    <field x="6"/>
  </rowFields>
  <rowItems count="8">
    <i>
      <x/>
    </i>
    <i>
      <x v="1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3" item="0" hier="-1"/>
    <pageField fld="1" item="2" hier="-1"/>
    <pageField fld="0" item="0" hier="-1"/>
  </pageFields>
  <dataFields count="4">
    <dataField name="Count of isOptInTime" fld="9" subtotal="count" baseField="0" baseItem="0"/>
    <dataField name="Sum of isOptInTime2" fld="9" baseField="1" baseItem="0"/>
    <dataField name="Average of finalTimeClearn" fld="8" subtotal="average" baseField="0" baseItem="0"/>
    <dataField name="Average of finGapClean" fld="7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9E21B-C248-40A0-9898-B7ACF8D1BB56}">
  <sheetPr>
    <tabColor rgb="FF00B050"/>
  </sheetPr>
  <dimension ref="A2:A13"/>
  <sheetViews>
    <sheetView workbookViewId="0">
      <selection activeCell="A13" sqref="A13"/>
    </sheetView>
  </sheetViews>
  <sheetFormatPr defaultRowHeight="15" x14ac:dyDescent="0.25"/>
  <cols>
    <col min="1" max="1" width="28.28515625" bestFit="1" customWidth="1"/>
    <col min="2" max="2" width="16" bestFit="1" customWidth="1"/>
  </cols>
  <sheetData>
    <row r="2" spans="1:1" x14ac:dyDescent="0.25">
      <c r="A2" t="s">
        <v>63</v>
      </c>
    </row>
    <row r="4" spans="1:1" x14ac:dyDescent="0.25">
      <c r="A4" t="s">
        <v>64</v>
      </c>
    </row>
    <row r="7" spans="1:1" x14ac:dyDescent="0.25">
      <c r="A7" t="s">
        <v>65</v>
      </c>
    </row>
    <row r="9" spans="1:1" x14ac:dyDescent="0.25">
      <c r="A9" t="s">
        <v>66</v>
      </c>
    </row>
    <row r="11" spans="1:1" x14ac:dyDescent="0.25">
      <c r="A11" t="s">
        <v>67</v>
      </c>
    </row>
    <row r="13" spans="1:1" x14ac:dyDescent="0.25">
      <c r="A13" t="s">
        <v>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3:Q96"/>
  <sheetViews>
    <sheetView tabSelected="1" workbookViewId="0">
      <selection activeCell="H11" sqref="H11"/>
    </sheetView>
  </sheetViews>
  <sheetFormatPr defaultColWidth="9.140625" defaultRowHeight="15" x14ac:dyDescent="0.25"/>
  <cols>
    <col min="1" max="1" width="13.140625" bestFit="1" customWidth="1"/>
    <col min="2" max="2" width="20.140625" bestFit="1" customWidth="1"/>
    <col min="3" max="3" width="19.7109375" bestFit="1" customWidth="1"/>
    <col min="4" max="4" width="25.7109375" bestFit="1" customWidth="1"/>
    <col min="5" max="5" width="22.42578125" bestFit="1" customWidth="1"/>
    <col min="12" max="12" width="9.5703125" bestFit="1" customWidth="1"/>
  </cols>
  <sheetData>
    <row r="3" spans="1:15" x14ac:dyDescent="0.25">
      <c r="A3" s="2" t="s">
        <v>27</v>
      </c>
      <c r="B3" s="3">
        <v>2</v>
      </c>
    </row>
    <row r="4" spans="1:15" x14ac:dyDescent="0.25">
      <c r="K4" s="11"/>
    </row>
    <row r="5" spans="1:15" x14ac:dyDescent="0.25">
      <c r="A5" s="2" t="s">
        <v>57</v>
      </c>
      <c r="B5" t="s">
        <v>33</v>
      </c>
      <c r="C5" t="s">
        <v>34</v>
      </c>
      <c r="D5" t="s">
        <v>30</v>
      </c>
      <c r="E5" t="s">
        <v>31</v>
      </c>
      <c r="K5" s="11"/>
    </row>
    <row r="6" spans="1:15" x14ac:dyDescent="0.25">
      <c r="A6" s="3">
        <v>4</v>
      </c>
      <c r="B6" s="16">
        <v>10</v>
      </c>
      <c r="C6" s="16">
        <v>10</v>
      </c>
      <c r="D6" s="16">
        <v>2475.2619199999999</v>
      </c>
      <c r="E6" s="16">
        <v>0</v>
      </c>
      <c r="K6" s="11"/>
    </row>
    <row r="7" spans="1:15" x14ac:dyDescent="0.25">
      <c r="A7" s="4">
        <v>16</v>
      </c>
      <c r="B7" s="16">
        <v>5</v>
      </c>
      <c r="C7" s="16">
        <v>5</v>
      </c>
      <c r="D7" s="16">
        <v>171.74884000000003</v>
      </c>
      <c r="E7" s="16">
        <v>0</v>
      </c>
      <c r="K7" s="11"/>
    </row>
    <row r="8" spans="1:15" x14ac:dyDescent="0.25">
      <c r="A8" s="6">
        <v>100</v>
      </c>
      <c r="B8" s="16">
        <v>5</v>
      </c>
      <c r="C8" s="16">
        <v>5</v>
      </c>
      <c r="D8" s="16">
        <v>171.74884000000003</v>
      </c>
      <c r="E8" s="16">
        <v>0</v>
      </c>
    </row>
    <row r="9" spans="1:15" x14ac:dyDescent="0.25">
      <c r="A9" s="7">
        <v>2</v>
      </c>
      <c r="B9" s="16">
        <v>5</v>
      </c>
      <c r="C9" s="16">
        <v>5</v>
      </c>
      <c r="D9" s="16">
        <v>171.74884000000003</v>
      </c>
      <c r="E9" s="16">
        <v>0</v>
      </c>
    </row>
    <row r="10" spans="1:15" x14ac:dyDescent="0.25">
      <c r="A10" s="4">
        <v>81</v>
      </c>
      <c r="B10" s="16">
        <v>5</v>
      </c>
      <c r="C10" s="16">
        <v>5</v>
      </c>
      <c r="D10" s="16">
        <v>4778.7750000000005</v>
      </c>
      <c r="E10" s="16">
        <v>0</v>
      </c>
    </row>
    <row r="11" spans="1:15" x14ac:dyDescent="0.25">
      <c r="A11" s="6">
        <v>100</v>
      </c>
      <c r="B11" s="16">
        <v>5</v>
      </c>
      <c r="C11" s="16">
        <v>5</v>
      </c>
      <c r="D11" s="16">
        <v>4778.7750000000005</v>
      </c>
      <c r="E11" s="16">
        <v>0</v>
      </c>
      <c r="H11" s="12" t="s">
        <v>69</v>
      </c>
      <c r="I11" s="12"/>
      <c r="J11" s="12"/>
      <c r="K11" s="12"/>
      <c r="L11" s="12"/>
      <c r="M11" s="12"/>
      <c r="N11" s="12"/>
      <c r="O11" s="12"/>
    </row>
    <row r="12" spans="1:15" x14ac:dyDescent="0.25">
      <c r="A12" s="7">
        <v>3</v>
      </c>
      <c r="B12" s="16">
        <v>5</v>
      </c>
      <c r="C12" s="16">
        <v>5</v>
      </c>
      <c r="D12" s="16">
        <v>4778.7750000000005</v>
      </c>
      <c r="E12" s="16">
        <v>0</v>
      </c>
      <c r="H12" s="12"/>
      <c r="I12" s="12"/>
      <c r="J12" s="12"/>
      <c r="K12" s="12"/>
      <c r="L12" s="12"/>
      <c r="M12" s="12"/>
      <c r="N12" s="12"/>
      <c r="O12" s="12"/>
    </row>
    <row r="13" spans="1:15" x14ac:dyDescent="0.25">
      <c r="A13" s="3">
        <v>5</v>
      </c>
      <c r="B13" s="16">
        <v>30</v>
      </c>
      <c r="C13" s="16">
        <v>13</v>
      </c>
      <c r="D13" s="16">
        <v>10578.326500000001</v>
      </c>
      <c r="E13" s="16">
        <v>3.835409E-2</v>
      </c>
      <c r="H13" s="12"/>
      <c r="I13" s="12"/>
      <c r="J13" s="12"/>
      <c r="K13" s="12"/>
      <c r="L13" s="12"/>
      <c r="M13" s="12"/>
      <c r="N13" s="12"/>
      <c r="O13" s="12"/>
    </row>
    <row r="14" spans="1:15" x14ac:dyDescent="0.25">
      <c r="A14" s="4">
        <v>32</v>
      </c>
      <c r="B14" s="16">
        <v>25</v>
      </c>
      <c r="C14" s="16">
        <v>11</v>
      </c>
      <c r="D14" s="16">
        <v>10544.285800000001</v>
      </c>
      <c r="E14" s="16">
        <v>4.2568480000000006E-2</v>
      </c>
      <c r="H14" s="12"/>
      <c r="I14" s="12"/>
      <c r="J14" s="12" t="s">
        <v>46</v>
      </c>
      <c r="K14" s="12" t="s">
        <v>47</v>
      </c>
      <c r="L14" s="12" t="s">
        <v>41</v>
      </c>
      <c r="M14" s="12" t="s">
        <v>45</v>
      </c>
      <c r="N14" s="12" t="s">
        <v>61</v>
      </c>
      <c r="O14" s="12"/>
    </row>
    <row r="15" spans="1:15" x14ac:dyDescent="0.25">
      <c r="A15" s="6">
        <v>100</v>
      </c>
      <c r="B15" s="16">
        <v>5</v>
      </c>
      <c r="C15" s="16">
        <v>5</v>
      </c>
      <c r="D15" s="16">
        <v>1308.4929999999999</v>
      </c>
      <c r="E15" s="16">
        <v>0</v>
      </c>
      <c r="H15" s="12"/>
      <c r="I15" s="12">
        <v>2</v>
      </c>
      <c r="J15" s="12">
        <v>4</v>
      </c>
      <c r="K15" s="12">
        <f>I15^J15</f>
        <v>16</v>
      </c>
      <c r="L15" s="13">
        <f>GETPIVOTDATA("Average of finalTimeClearn",$A$5,"sper stage",I15,"stage",J15,"scenarios",K15,"demand",100)</f>
        <v>171.74884000000003</v>
      </c>
      <c r="M15" s="12" t="str">
        <f>GETPIVOTDATA("Sum of isOptInTime2",$A$5,"sper stage",I15,"stage",J15,"scenarios",K15,"demand",100) &amp; " / "&amp;GETPIVOTDATA("Count of isOptInTime",$A$5,"sper stage",I15,"stage",J15,"scenarios",K15,"demand",100)</f>
        <v>5 / 5</v>
      </c>
      <c r="N15" s="14">
        <f>GETPIVOTDATA("Average of finGapClean",$A$5,"sper stage",I15,"stage",J15,"scenarios",K15,"demand",100)*100</f>
        <v>0</v>
      </c>
      <c r="O15" s="12"/>
    </row>
    <row r="16" spans="1:15" x14ac:dyDescent="0.25">
      <c r="A16" s="7">
        <v>2</v>
      </c>
      <c r="B16" s="16">
        <v>5</v>
      </c>
      <c r="C16" s="16">
        <v>5</v>
      </c>
      <c r="D16" s="16">
        <v>1308.4929999999999</v>
      </c>
      <c r="E16" s="16">
        <v>0</v>
      </c>
      <c r="H16" s="12"/>
      <c r="I16" s="12">
        <v>3</v>
      </c>
      <c r="J16" s="12">
        <v>4</v>
      </c>
      <c r="K16" s="12">
        <f t="shared" ref="K16:K21" si="0">I16^J16</f>
        <v>81</v>
      </c>
      <c r="L16" s="13">
        <f t="shared" ref="L16:L21" si="1">GETPIVOTDATA("Average of finalTimeClearn",$A$5,"sper stage",I16,"stage",J16,"scenarios",K16,"demand",100)</f>
        <v>4778.7750000000005</v>
      </c>
      <c r="M16" s="12" t="str">
        <f t="shared" ref="M16:M21" si="2">GETPIVOTDATA("Sum of isOptInTime2",$A$5,"sper stage",I16,"stage",J16,"scenarios",K16,"demand",100) &amp; " / "&amp;GETPIVOTDATA("Count of isOptInTime",$A$5,"sper stage",I16,"stage",J16,"scenarios",K16,"demand",100)</f>
        <v>5 / 5</v>
      </c>
      <c r="N16" s="14">
        <f t="shared" ref="N16:N21" si="3">GETPIVOTDATA("Average of finGapClean",$A$5,"sper stage",I16,"stage",J16,"scenarios",K16,"demand",100)*100</f>
        <v>0</v>
      </c>
      <c r="O16" s="12"/>
    </row>
    <row r="17" spans="1:15" x14ac:dyDescent="0.25">
      <c r="A17" s="6">
        <v>200</v>
      </c>
      <c r="B17" s="16">
        <v>5</v>
      </c>
      <c r="C17" s="16">
        <v>4</v>
      </c>
      <c r="D17" s="16">
        <v>8965.996000000001</v>
      </c>
      <c r="E17" s="16">
        <v>3.95094E-3</v>
      </c>
      <c r="H17" s="12"/>
      <c r="I17" s="12">
        <v>2</v>
      </c>
      <c r="J17" s="12">
        <v>5</v>
      </c>
      <c r="K17" s="12">
        <f t="shared" si="0"/>
        <v>32</v>
      </c>
      <c r="L17" s="13">
        <f t="shared" si="1"/>
        <v>1308.4929999999999</v>
      </c>
      <c r="M17" s="12" t="str">
        <f t="shared" si="2"/>
        <v>5 / 5</v>
      </c>
      <c r="N17" s="14">
        <f t="shared" si="3"/>
        <v>0</v>
      </c>
      <c r="O17" s="12"/>
    </row>
    <row r="18" spans="1:15" x14ac:dyDescent="0.25">
      <c r="A18" s="7">
        <v>2</v>
      </c>
      <c r="B18" s="16">
        <v>5</v>
      </c>
      <c r="C18" s="16">
        <v>4</v>
      </c>
      <c r="D18" s="16">
        <v>8965.996000000001</v>
      </c>
      <c r="E18" s="16">
        <v>3.95094E-3</v>
      </c>
      <c r="H18" s="12"/>
      <c r="I18" s="12">
        <v>3</v>
      </c>
      <c r="J18" s="12">
        <v>5</v>
      </c>
      <c r="K18" s="12">
        <f t="shared" si="0"/>
        <v>243</v>
      </c>
      <c r="L18" s="13">
        <f t="shared" si="1"/>
        <v>10748.529999999999</v>
      </c>
      <c r="M18" s="12" t="str">
        <f t="shared" si="2"/>
        <v>2 / 5</v>
      </c>
      <c r="N18" s="14">
        <f t="shared" si="3"/>
        <v>1.7282140000000001</v>
      </c>
      <c r="O18" s="12"/>
    </row>
    <row r="19" spans="1:15" x14ac:dyDescent="0.25">
      <c r="A19" s="6">
        <v>300</v>
      </c>
      <c r="B19" s="16">
        <v>5</v>
      </c>
      <c r="C19" s="16">
        <v>1</v>
      </c>
      <c r="D19" s="16">
        <v>14254.960000000001</v>
      </c>
      <c r="E19" s="16">
        <v>1.0063359999999999E-2</v>
      </c>
      <c r="H19" s="12"/>
      <c r="I19" s="12">
        <v>2</v>
      </c>
      <c r="J19" s="12">
        <v>6</v>
      </c>
      <c r="K19" s="12">
        <f t="shared" si="0"/>
        <v>64</v>
      </c>
      <c r="L19" s="13">
        <f t="shared" si="1"/>
        <v>4028.9228000000003</v>
      </c>
      <c r="M19" s="12" t="str">
        <f t="shared" si="2"/>
        <v>5 / 5</v>
      </c>
      <c r="N19" s="14">
        <f t="shared" si="3"/>
        <v>0</v>
      </c>
      <c r="O19" s="12"/>
    </row>
    <row r="20" spans="1:15" x14ac:dyDescent="0.25">
      <c r="A20" s="7">
        <v>2</v>
      </c>
      <c r="B20" s="16">
        <v>5</v>
      </c>
      <c r="C20" s="16">
        <v>1</v>
      </c>
      <c r="D20" s="16">
        <v>14254.960000000001</v>
      </c>
      <c r="E20" s="16">
        <v>1.0063359999999999E-2</v>
      </c>
      <c r="H20" s="12"/>
      <c r="I20" s="12">
        <v>2</v>
      </c>
      <c r="J20" s="12">
        <v>7</v>
      </c>
      <c r="K20" s="12">
        <f t="shared" si="0"/>
        <v>128</v>
      </c>
      <c r="L20" s="13">
        <f t="shared" si="1"/>
        <v>8837.8080000000009</v>
      </c>
      <c r="M20" s="12" t="str">
        <f t="shared" si="2"/>
        <v>4 / 5</v>
      </c>
      <c r="N20" s="14">
        <f t="shared" si="3"/>
        <v>0.48437800000000009</v>
      </c>
      <c r="O20" s="12"/>
    </row>
    <row r="21" spans="1:15" x14ac:dyDescent="0.25">
      <c r="A21" s="6">
        <v>400</v>
      </c>
      <c r="B21" s="16">
        <v>5</v>
      </c>
      <c r="C21" s="16">
        <v>1</v>
      </c>
      <c r="D21" s="16">
        <v>13791.98</v>
      </c>
      <c r="E21" s="16">
        <v>3.3037660000000003E-2</v>
      </c>
      <c r="H21" s="12"/>
      <c r="I21" s="12">
        <v>2</v>
      </c>
      <c r="J21" s="12">
        <v>8</v>
      </c>
      <c r="K21" s="12">
        <f t="shared" si="0"/>
        <v>256</v>
      </c>
      <c r="L21" s="13">
        <f t="shared" si="1"/>
        <v>13438.734</v>
      </c>
      <c r="M21" s="12" t="str">
        <f t="shared" si="2"/>
        <v>1 / 5</v>
      </c>
      <c r="N21" s="14">
        <f t="shared" si="3"/>
        <v>3.1462500000000002</v>
      </c>
      <c r="O21" s="12"/>
    </row>
    <row r="22" spans="1:15" x14ac:dyDescent="0.25">
      <c r="A22" s="7">
        <v>2</v>
      </c>
      <c r="B22" s="16">
        <v>5</v>
      </c>
      <c r="C22" s="16">
        <v>1</v>
      </c>
      <c r="D22" s="16">
        <v>13791.98</v>
      </c>
      <c r="E22" s="16">
        <v>3.3037660000000003E-2</v>
      </c>
      <c r="H22" s="12"/>
      <c r="I22" s="12"/>
      <c r="J22" s="12"/>
      <c r="K22" s="12"/>
      <c r="L22" s="13"/>
      <c r="M22" s="12"/>
      <c r="N22" s="12"/>
      <c r="O22" s="12"/>
    </row>
    <row r="23" spans="1:15" x14ac:dyDescent="0.25">
      <c r="A23" s="6">
        <v>500</v>
      </c>
      <c r="B23" s="16">
        <v>5</v>
      </c>
      <c r="C23" s="16">
        <v>0</v>
      </c>
      <c r="D23" s="16">
        <v>14400</v>
      </c>
      <c r="E23" s="16">
        <v>0.16579044000000001</v>
      </c>
      <c r="H23" s="12"/>
      <c r="I23" s="12"/>
      <c r="J23" s="12"/>
      <c r="K23" s="12"/>
      <c r="L23" s="12"/>
      <c r="M23" s="12"/>
      <c r="N23" s="12"/>
      <c r="O23" s="12"/>
    </row>
    <row r="24" spans="1:15" x14ac:dyDescent="0.25">
      <c r="A24" s="7">
        <v>2</v>
      </c>
      <c r="B24" s="16">
        <v>5</v>
      </c>
      <c r="C24" s="16">
        <v>0</v>
      </c>
      <c r="D24" s="16">
        <v>14400</v>
      </c>
      <c r="E24" s="16">
        <v>0.16579044000000001</v>
      </c>
    </row>
    <row r="25" spans="1:15" x14ac:dyDescent="0.25">
      <c r="A25" s="4">
        <v>243</v>
      </c>
      <c r="B25" s="16">
        <v>5</v>
      </c>
      <c r="C25" s="16">
        <v>2</v>
      </c>
      <c r="D25" s="16">
        <v>10748.529999999999</v>
      </c>
      <c r="E25" s="16">
        <v>1.7282140000000001E-2</v>
      </c>
    </row>
    <row r="26" spans="1:15" x14ac:dyDescent="0.25">
      <c r="A26" s="6">
        <v>100</v>
      </c>
      <c r="B26" s="16">
        <v>5</v>
      </c>
      <c r="C26" s="16">
        <v>2</v>
      </c>
      <c r="D26" s="16">
        <v>10748.529999999999</v>
      </c>
      <c r="E26" s="16">
        <v>1.7282140000000001E-2</v>
      </c>
    </row>
    <row r="27" spans="1:15" x14ac:dyDescent="0.25">
      <c r="A27" s="7">
        <v>3</v>
      </c>
      <c r="B27" s="16">
        <v>5</v>
      </c>
      <c r="C27" s="16">
        <v>2</v>
      </c>
      <c r="D27" s="16">
        <v>10748.529999999999</v>
      </c>
      <c r="E27" s="16">
        <v>1.7282140000000001E-2</v>
      </c>
    </row>
    <row r="28" spans="1:15" x14ac:dyDescent="0.25">
      <c r="A28" s="3">
        <v>6</v>
      </c>
      <c r="B28" s="16">
        <v>5</v>
      </c>
      <c r="C28" s="16">
        <v>5</v>
      </c>
      <c r="D28" s="16">
        <v>4028.9228000000003</v>
      </c>
      <c r="E28" s="16">
        <v>0</v>
      </c>
    </row>
    <row r="29" spans="1:15" x14ac:dyDescent="0.25">
      <c r="A29" s="4">
        <v>64</v>
      </c>
      <c r="B29" s="16">
        <v>5</v>
      </c>
      <c r="C29" s="16">
        <v>5</v>
      </c>
      <c r="D29" s="16">
        <v>4028.9228000000003</v>
      </c>
      <c r="E29" s="16">
        <v>0</v>
      </c>
    </row>
    <row r="30" spans="1:15" x14ac:dyDescent="0.25">
      <c r="A30" s="6">
        <v>100</v>
      </c>
      <c r="B30" s="16">
        <v>5</v>
      </c>
      <c r="C30" s="16">
        <v>5</v>
      </c>
      <c r="D30" s="16">
        <v>4028.9228000000003</v>
      </c>
      <c r="E30" s="16">
        <v>0</v>
      </c>
    </row>
    <row r="31" spans="1:15" x14ac:dyDescent="0.25">
      <c r="A31" s="7">
        <v>2</v>
      </c>
      <c r="B31" s="16">
        <v>5</v>
      </c>
      <c r="C31" s="16">
        <v>5</v>
      </c>
      <c r="D31" s="16">
        <v>4028.9228000000003</v>
      </c>
      <c r="E31" s="16">
        <v>0</v>
      </c>
    </row>
    <row r="32" spans="1:15" x14ac:dyDescent="0.25">
      <c r="A32" s="3">
        <v>7</v>
      </c>
      <c r="B32" s="16">
        <v>5</v>
      </c>
      <c r="C32" s="16">
        <v>4</v>
      </c>
      <c r="D32" s="16">
        <v>8837.8080000000009</v>
      </c>
      <c r="E32" s="16">
        <v>4.8437800000000007E-3</v>
      </c>
    </row>
    <row r="33" spans="1:5" x14ac:dyDescent="0.25">
      <c r="A33" s="4">
        <v>128</v>
      </c>
      <c r="B33" s="16">
        <v>5</v>
      </c>
      <c r="C33" s="16">
        <v>4</v>
      </c>
      <c r="D33" s="16">
        <v>8837.8080000000009</v>
      </c>
      <c r="E33" s="16">
        <v>4.8437800000000007E-3</v>
      </c>
    </row>
    <row r="34" spans="1:5" x14ac:dyDescent="0.25">
      <c r="A34" s="6">
        <v>100</v>
      </c>
      <c r="B34" s="16">
        <v>5</v>
      </c>
      <c r="C34" s="16">
        <v>4</v>
      </c>
      <c r="D34" s="16">
        <v>8837.8080000000009</v>
      </c>
      <c r="E34" s="16">
        <v>4.8437800000000007E-3</v>
      </c>
    </row>
    <row r="35" spans="1:5" x14ac:dyDescent="0.25">
      <c r="A35" s="7">
        <v>2</v>
      </c>
      <c r="B35" s="16">
        <v>5</v>
      </c>
      <c r="C35" s="16">
        <v>4</v>
      </c>
      <c r="D35" s="16">
        <v>8837.8080000000009</v>
      </c>
      <c r="E35" s="16">
        <v>4.8437800000000007E-3</v>
      </c>
    </row>
    <row r="36" spans="1:5" x14ac:dyDescent="0.25">
      <c r="A36" s="3">
        <v>8</v>
      </c>
      <c r="B36" s="16">
        <v>5</v>
      </c>
      <c r="C36" s="16">
        <v>1</v>
      </c>
      <c r="D36" s="16">
        <v>13438.734</v>
      </c>
      <c r="E36" s="16">
        <v>3.1462500000000004E-2</v>
      </c>
    </row>
    <row r="37" spans="1:5" x14ac:dyDescent="0.25">
      <c r="A37" s="4">
        <v>256</v>
      </c>
      <c r="B37" s="16">
        <v>5</v>
      </c>
      <c r="C37" s="16">
        <v>1</v>
      </c>
      <c r="D37" s="16">
        <v>13438.734</v>
      </c>
      <c r="E37" s="16">
        <v>3.1462500000000004E-2</v>
      </c>
    </row>
    <row r="38" spans="1:5" x14ac:dyDescent="0.25">
      <c r="A38" s="6">
        <v>100</v>
      </c>
      <c r="B38" s="16">
        <v>5</v>
      </c>
      <c r="C38" s="16">
        <v>1</v>
      </c>
      <c r="D38" s="16">
        <v>13438.734</v>
      </c>
      <c r="E38" s="16">
        <v>3.1462500000000004E-2</v>
      </c>
    </row>
    <row r="39" spans="1:5" x14ac:dyDescent="0.25">
      <c r="A39" s="7">
        <v>2</v>
      </c>
      <c r="B39" s="16">
        <v>5</v>
      </c>
      <c r="C39" s="16">
        <v>1</v>
      </c>
      <c r="D39" s="16">
        <v>13438.734</v>
      </c>
      <c r="E39" s="16">
        <v>3.1462500000000004E-2</v>
      </c>
    </row>
    <row r="40" spans="1:5" x14ac:dyDescent="0.25">
      <c r="A40" s="3" t="s">
        <v>58</v>
      </c>
      <c r="B40" s="16">
        <v>55</v>
      </c>
      <c r="C40" s="16">
        <v>33</v>
      </c>
      <c r="D40" s="16">
        <v>8611.4497854545443</v>
      </c>
      <c r="E40" s="16">
        <v>2.4220983636363637E-2</v>
      </c>
    </row>
    <row r="45" spans="1:5" x14ac:dyDescent="0.25">
      <c r="A45" s="6"/>
    </row>
    <row r="46" spans="1:5" x14ac:dyDescent="0.25">
      <c r="A46" s="6"/>
    </row>
    <row r="47" spans="1:5" x14ac:dyDescent="0.25">
      <c r="B47" t="s">
        <v>43</v>
      </c>
    </row>
    <row r="50" spans="1:17" x14ac:dyDescent="0.25">
      <c r="A50" s="2" t="s">
        <v>24</v>
      </c>
      <c r="B50" s="3">
        <v>100</v>
      </c>
    </row>
    <row r="51" spans="1:17" x14ac:dyDescent="0.25">
      <c r="A51" s="2" t="s">
        <v>22</v>
      </c>
      <c r="B51" s="3">
        <v>6</v>
      </c>
      <c r="J51" t="s">
        <v>62</v>
      </c>
      <c r="K51">
        <v>10000</v>
      </c>
      <c r="L51">
        <v>555555</v>
      </c>
      <c r="M51">
        <v>5</v>
      </c>
      <c r="N51">
        <v>4</v>
      </c>
      <c r="O51">
        <v>3</v>
      </c>
      <c r="P51">
        <v>2</v>
      </c>
      <c r="Q51">
        <v>1000</v>
      </c>
    </row>
    <row r="52" spans="1:17" x14ac:dyDescent="0.25">
      <c r="A52" s="2" t="s">
        <v>21</v>
      </c>
      <c r="B52" s="3">
        <v>2</v>
      </c>
    </row>
    <row r="53" spans="1:17" x14ac:dyDescent="0.25">
      <c r="J53" t="s">
        <v>27</v>
      </c>
      <c r="K53" t="s">
        <v>39</v>
      </c>
      <c r="L53" t="s">
        <v>38</v>
      </c>
      <c r="M53" t="s">
        <v>40</v>
      </c>
      <c r="N53" t="s">
        <v>36</v>
      </c>
      <c r="O53" t="s">
        <v>35</v>
      </c>
      <c r="P53" t="s">
        <v>48</v>
      </c>
      <c r="Q53" t="s">
        <v>37</v>
      </c>
    </row>
    <row r="54" spans="1:17" x14ac:dyDescent="0.25">
      <c r="A54" s="2" t="s">
        <v>57</v>
      </c>
      <c r="B54" t="s">
        <v>33</v>
      </c>
      <c r="C54" t="s">
        <v>34</v>
      </c>
      <c r="D54" t="s">
        <v>30</v>
      </c>
      <c r="E54" t="s">
        <v>31</v>
      </c>
      <c r="J54" t="s">
        <v>50</v>
      </c>
      <c r="K54" s="5">
        <f t="shared" ref="K54:Q54" si="4">GETPIVOTDATA("Average of finalTimeClearn",$A$54,"mode",K51)</f>
        <v>6926.7020000000002</v>
      </c>
      <c r="L54" s="5">
        <f t="shared" si="4"/>
        <v>5034.6034</v>
      </c>
      <c r="M54" s="5">
        <f t="shared" si="4"/>
        <v>5543.5020000000004</v>
      </c>
      <c r="N54" s="5">
        <f t="shared" si="4"/>
        <v>5221.0558000000001</v>
      </c>
      <c r="O54" s="5">
        <f t="shared" si="4"/>
        <v>5467.9250000000002</v>
      </c>
      <c r="P54" s="5">
        <f t="shared" si="4"/>
        <v>4028.9228000000003</v>
      </c>
      <c r="Q54" s="5">
        <f t="shared" si="4"/>
        <v>5466.4250000000002</v>
      </c>
    </row>
    <row r="55" spans="1:17" x14ac:dyDescent="0.25">
      <c r="A55" s="3">
        <v>3</v>
      </c>
      <c r="B55" s="16">
        <v>5</v>
      </c>
      <c r="C55" s="16">
        <v>4</v>
      </c>
      <c r="D55" s="16">
        <v>5467.9250000000002</v>
      </c>
      <c r="E55" s="16">
        <v>2.7271000000000001E-3</v>
      </c>
      <c r="J55" t="s">
        <v>49</v>
      </c>
      <c r="K55" t="s">
        <v>51</v>
      </c>
      <c r="L55" s="8">
        <f t="shared" ref="L55:Q55" si="5">($K$54-L54)/$K$54*100</f>
        <v>27.316009841335749</v>
      </c>
      <c r="M55" s="8">
        <f t="shared" si="5"/>
        <v>19.96909929140881</v>
      </c>
      <c r="N55" s="8">
        <f t="shared" si="5"/>
        <v>24.624217990033355</v>
      </c>
      <c r="O55" s="8">
        <f t="shared" si="5"/>
        <v>21.060195746835941</v>
      </c>
      <c r="P55" s="8">
        <f t="shared" si="5"/>
        <v>41.834904980754182</v>
      </c>
      <c r="Q55" s="8">
        <f t="shared" si="5"/>
        <v>21.081851074291922</v>
      </c>
    </row>
    <row r="56" spans="1:17" x14ac:dyDescent="0.25">
      <c r="A56" s="3">
        <v>4</v>
      </c>
      <c r="B56" s="16">
        <v>5</v>
      </c>
      <c r="C56" s="16">
        <v>4</v>
      </c>
      <c r="D56" s="16">
        <v>5221.0558000000001</v>
      </c>
      <c r="E56" s="16">
        <v>2.7271000000000001E-3</v>
      </c>
      <c r="J56" t="s">
        <v>42</v>
      </c>
      <c r="K56" t="str">
        <f t="shared" ref="K56:Q56" si="6">GETPIVOTDATA("Sum of isOptInTime2",$A$54,"mode",K51)&amp;" / "&amp; 5</f>
        <v>4 / 5</v>
      </c>
      <c r="L56" t="str">
        <f t="shared" si="6"/>
        <v>4 / 5</v>
      </c>
      <c r="M56" t="str">
        <f t="shared" si="6"/>
        <v>4 / 5</v>
      </c>
      <c r="N56" t="str">
        <f t="shared" si="6"/>
        <v>4 / 5</v>
      </c>
      <c r="O56" t="str">
        <f t="shared" si="6"/>
        <v>4 / 5</v>
      </c>
      <c r="P56" t="str">
        <f t="shared" si="6"/>
        <v>5 / 5</v>
      </c>
      <c r="Q56" t="str">
        <f t="shared" si="6"/>
        <v>5 / 5</v>
      </c>
    </row>
    <row r="57" spans="1:17" x14ac:dyDescent="0.25">
      <c r="A57" s="3">
        <v>5</v>
      </c>
      <c r="B57" s="16">
        <v>5</v>
      </c>
      <c r="C57" s="16">
        <v>4</v>
      </c>
      <c r="D57" s="16">
        <v>5543.5020000000004</v>
      </c>
      <c r="E57" s="16">
        <v>2.7271000000000001E-3</v>
      </c>
      <c r="J57" t="s">
        <v>3</v>
      </c>
      <c r="K57">
        <f t="shared" ref="K57:Q57" si="7">GETPIVOTDATA("Average of finGapClean",$A$54,"mode",K51)</f>
        <v>0.1874218</v>
      </c>
      <c r="L57">
        <f t="shared" si="7"/>
        <v>2.7271000000000001E-3</v>
      </c>
      <c r="M57">
        <f t="shared" si="7"/>
        <v>2.7271000000000001E-3</v>
      </c>
      <c r="N57">
        <f t="shared" si="7"/>
        <v>2.7271000000000001E-3</v>
      </c>
      <c r="O57">
        <f t="shared" si="7"/>
        <v>2.7271000000000001E-3</v>
      </c>
      <c r="P57">
        <f t="shared" si="7"/>
        <v>0</v>
      </c>
      <c r="Q57">
        <f t="shared" si="7"/>
        <v>0</v>
      </c>
    </row>
    <row r="58" spans="1:17" x14ac:dyDescent="0.25">
      <c r="A58" s="3">
        <v>1000</v>
      </c>
      <c r="B58" s="16">
        <v>5</v>
      </c>
      <c r="C58" s="16">
        <v>5</v>
      </c>
      <c r="D58" s="16">
        <v>5466.4250000000002</v>
      </c>
      <c r="E58" s="16">
        <v>0</v>
      </c>
    </row>
    <row r="59" spans="1:17" x14ac:dyDescent="0.25">
      <c r="A59" s="3">
        <v>10000</v>
      </c>
      <c r="B59" s="16">
        <v>5</v>
      </c>
      <c r="C59" s="16">
        <v>4</v>
      </c>
      <c r="D59" s="16">
        <v>6926.7020000000002</v>
      </c>
      <c r="E59" s="16">
        <v>0.1874218</v>
      </c>
    </row>
    <row r="60" spans="1:17" x14ac:dyDescent="0.25">
      <c r="A60" s="3">
        <v>555555</v>
      </c>
      <c r="B60" s="16">
        <v>5</v>
      </c>
      <c r="C60" s="16">
        <v>4</v>
      </c>
      <c r="D60" s="16">
        <v>5034.6034</v>
      </c>
      <c r="E60" s="16">
        <v>2.7271000000000001E-3</v>
      </c>
      <c r="I60" s="12" t="s">
        <v>70</v>
      </c>
      <c r="J60" s="12"/>
      <c r="K60" s="12"/>
      <c r="L60" s="12"/>
      <c r="M60" s="12"/>
      <c r="N60" s="12"/>
      <c r="O60" s="12"/>
    </row>
    <row r="61" spans="1:17" x14ac:dyDescent="0.25">
      <c r="A61" s="3">
        <v>2</v>
      </c>
      <c r="B61" s="16">
        <v>5</v>
      </c>
      <c r="C61" s="16">
        <v>5</v>
      </c>
      <c r="D61" s="16">
        <v>4028.9228000000003</v>
      </c>
      <c r="E61" s="16">
        <v>0</v>
      </c>
      <c r="I61" s="12"/>
      <c r="J61" s="12" t="s">
        <v>27</v>
      </c>
      <c r="K61" s="12" t="str">
        <f>J54</f>
        <v>avg time [in sec]</v>
      </c>
      <c r="L61" s="12" t="str">
        <f>J55</f>
        <v>impr.  [in %]</v>
      </c>
      <c r="M61" s="12" t="str">
        <f>J56</f>
        <v># opt / # total</v>
      </c>
      <c r="N61" s="12" t="s">
        <v>60</v>
      </c>
      <c r="O61" s="12"/>
    </row>
    <row r="62" spans="1:17" x14ac:dyDescent="0.25">
      <c r="A62" s="3" t="s">
        <v>58</v>
      </c>
      <c r="B62" s="16">
        <v>35</v>
      </c>
      <c r="C62" s="16">
        <v>30</v>
      </c>
      <c r="D62" s="16">
        <v>5384.1622857142875</v>
      </c>
      <c r="E62" s="16">
        <v>2.8332885714285713E-2</v>
      </c>
      <c r="I62" s="12"/>
      <c r="J62" s="12" t="str">
        <f>K53</f>
        <v>no Repair</v>
      </c>
      <c r="K62" s="13">
        <f>K54</f>
        <v>6926.7020000000002</v>
      </c>
      <c r="L62" s="12" t="str">
        <f>K55</f>
        <v xml:space="preserve"> -</v>
      </c>
      <c r="M62" s="12" t="str">
        <f>K56</f>
        <v>4 / 5</v>
      </c>
      <c r="N62" s="14">
        <f>K57*100</f>
        <v>18.742180000000001</v>
      </c>
      <c r="O62" s="12"/>
    </row>
    <row r="63" spans="1:17" x14ac:dyDescent="0.25">
      <c r="I63" s="12"/>
      <c r="J63" s="12" t="str">
        <f>L53</f>
        <v>only Shift Repair</v>
      </c>
      <c r="K63" s="13">
        <f>L54</f>
        <v>5034.6034</v>
      </c>
      <c r="L63" s="14">
        <f>L55</f>
        <v>27.316009841335749</v>
      </c>
      <c r="M63" s="12" t="str">
        <f>L56</f>
        <v>4 / 5</v>
      </c>
      <c r="N63" s="14">
        <f>L57*100</f>
        <v>0.27271000000000001</v>
      </c>
      <c r="O63" s="12"/>
    </row>
    <row r="64" spans="1:17" x14ac:dyDescent="0.25">
      <c r="I64" s="12"/>
      <c r="J64" s="12" t="str">
        <f>M53</f>
        <v>alpha=5</v>
      </c>
      <c r="K64" s="13">
        <f>M54</f>
        <v>5543.5020000000004</v>
      </c>
      <c r="L64" s="14">
        <f>M55</f>
        <v>19.96909929140881</v>
      </c>
      <c r="M64" s="12" t="str">
        <f>M56</f>
        <v>4 / 5</v>
      </c>
      <c r="N64" s="14">
        <f>M57*100</f>
        <v>0.27271000000000001</v>
      </c>
      <c r="O64" s="12"/>
    </row>
    <row r="65" spans="9:15" x14ac:dyDescent="0.25">
      <c r="I65" s="12"/>
      <c r="J65" s="12" t="str">
        <f>N53</f>
        <v>alpha=4</v>
      </c>
      <c r="K65" s="13">
        <f>N54</f>
        <v>5221.0558000000001</v>
      </c>
      <c r="L65" s="14">
        <f>N55</f>
        <v>24.624217990033355</v>
      </c>
      <c r="M65" s="12" t="str">
        <f>N56</f>
        <v>4 / 5</v>
      </c>
      <c r="N65" s="14">
        <f>N57*100</f>
        <v>0.27271000000000001</v>
      </c>
      <c r="O65" s="12"/>
    </row>
    <row r="66" spans="9:15" x14ac:dyDescent="0.25">
      <c r="I66" s="12"/>
      <c r="J66" s="12" t="str">
        <f>O53</f>
        <v>alpha=3</v>
      </c>
      <c r="K66" s="13">
        <f>O54</f>
        <v>5467.9250000000002</v>
      </c>
      <c r="L66" s="14">
        <f>O55</f>
        <v>21.060195746835941</v>
      </c>
      <c r="M66" s="12" t="str">
        <f>O56</f>
        <v>4 / 5</v>
      </c>
      <c r="N66" s="14">
        <f>O57*100</f>
        <v>0.27271000000000001</v>
      </c>
      <c r="O66" s="12"/>
    </row>
    <row r="67" spans="9:15" x14ac:dyDescent="0.25">
      <c r="I67" s="12"/>
      <c r="J67" s="12" t="str">
        <f>P53</f>
        <v>alpha=2</v>
      </c>
      <c r="K67" s="13">
        <f>P54</f>
        <v>4028.9228000000003</v>
      </c>
      <c r="L67" s="14">
        <f>P55</f>
        <v>41.834904980754182</v>
      </c>
      <c r="M67" s="12" t="str">
        <f>P56</f>
        <v>5 / 5</v>
      </c>
      <c r="N67" s="14">
        <f>P57*100</f>
        <v>0</v>
      </c>
      <c r="O67" s="12"/>
    </row>
    <row r="68" spans="9:15" x14ac:dyDescent="0.25">
      <c r="I68" s="12"/>
      <c r="J68" s="12" t="str">
        <f>Q53</f>
        <v>always ReOpt Repair</v>
      </c>
      <c r="K68" s="13">
        <f>Q54</f>
        <v>5466.4250000000002</v>
      </c>
      <c r="L68" s="14">
        <f>Q55</f>
        <v>21.081851074291922</v>
      </c>
      <c r="M68" s="12" t="str">
        <f>Q56</f>
        <v>5 / 5</v>
      </c>
      <c r="N68" s="14">
        <f>Q57*100</f>
        <v>0</v>
      </c>
      <c r="O68" s="12"/>
    </row>
    <row r="69" spans="9:15" x14ac:dyDescent="0.25">
      <c r="I69" s="12"/>
      <c r="J69" s="12"/>
      <c r="K69" s="12"/>
      <c r="L69" s="12"/>
      <c r="M69" s="12"/>
      <c r="N69" s="12"/>
      <c r="O69" s="12"/>
    </row>
    <row r="84" spans="1:15" x14ac:dyDescent="0.25">
      <c r="A84" s="2" t="s">
        <v>27</v>
      </c>
      <c r="B84" s="3">
        <v>2</v>
      </c>
    </row>
    <row r="85" spans="1:15" x14ac:dyDescent="0.25">
      <c r="A85" s="2" t="s">
        <v>22</v>
      </c>
      <c r="B85" s="3">
        <v>5</v>
      </c>
    </row>
    <row r="86" spans="1:15" x14ac:dyDescent="0.25">
      <c r="A86" s="2" t="s">
        <v>21</v>
      </c>
      <c r="B86" s="3">
        <v>2</v>
      </c>
      <c r="J86" s="12" t="s">
        <v>71</v>
      </c>
      <c r="K86" s="12"/>
      <c r="L86" s="12"/>
      <c r="M86" s="12"/>
      <c r="N86" s="12"/>
      <c r="O86" s="12"/>
    </row>
    <row r="87" spans="1:15" x14ac:dyDescent="0.25">
      <c r="A87" s="2" t="s">
        <v>23</v>
      </c>
      <c r="B87" t="s">
        <v>59</v>
      </c>
      <c r="J87" s="12"/>
      <c r="K87" s="12"/>
      <c r="L87" s="12"/>
      <c r="M87" s="12"/>
      <c r="N87" s="12"/>
      <c r="O87" s="12"/>
    </row>
    <row r="88" spans="1:15" x14ac:dyDescent="0.25">
      <c r="J88" s="12"/>
      <c r="K88" s="12" t="s">
        <v>44</v>
      </c>
      <c r="L88" s="12" t="s">
        <v>41</v>
      </c>
      <c r="M88" s="12" t="s">
        <v>45</v>
      </c>
      <c r="N88" s="12" t="s">
        <v>3</v>
      </c>
      <c r="O88" s="12"/>
    </row>
    <row r="89" spans="1:15" x14ac:dyDescent="0.25">
      <c r="A89" s="2" t="s">
        <v>57</v>
      </c>
      <c r="B89" t="s">
        <v>33</v>
      </c>
      <c r="C89" t="s">
        <v>34</v>
      </c>
      <c r="D89" t="s">
        <v>30</v>
      </c>
      <c r="E89" t="s">
        <v>31</v>
      </c>
      <c r="J89" s="12"/>
      <c r="K89" s="12">
        <v>100</v>
      </c>
      <c r="L89" s="13">
        <f>GETPIVOTDATA("Average of finalTimeClearn",$A$89,"demand",K89)</f>
        <v>1308.4929999999999</v>
      </c>
      <c r="M89" s="12" t="str">
        <f>GETPIVOTDATA("Sum of isOptInTime2",$A$89,"demand",K89) &amp; " / "&amp;GETPIVOTDATA("Count of isOptInTime",$A$89,"demand",K89)</f>
        <v>5 / 5</v>
      </c>
      <c r="N89" s="15">
        <f>GETPIVOTDATA("Average of finGapClean",$A$89,"demand",K89)*100</f>
        <v>0</v>
      </c>
      <c r="O89" s="12"/>
    </row>
    <row r="90" spans="1:15" x14ac:dyDescent="0.25">
      <c r="A90" s="3">
        <v>100</v>
      </c>
      <c r="B90" s="16">
        <v>5</v>
      </c>
      <c r="C90" s="16">
        <v>5</v>
      </c>
      <c r="D90" s="16">
        <v>1308.4929999999999</v>
      </c>
      <c r="E90" s="16">
        <v>0</v>
      </c>
      <c r="J90" s="12"/>
      <c r="K90" s="12">
        <v>200</v>
      </c>
      <c r="L90" s="13">
        <f>GETPIVOTDATA("Average of finalTimeClearn",$A$89,"demand",K90)</f>
        <v>8965.996000000001</v>
      </c>
      <c r="M90" s="12" t="str">
        <f t="shared" ref="M90:M93" si="8">GETPIVOTDATA("Sum of isOptInTime2",$A$89,"demand",K90) &amp; " / "&amp;GETPIVOTDATA("Count of isOptInTime",$A$89,"demand",K90)</f>
        <v>4 / 5</v>
      </c>
      <c r="N90" s="15">
        <f>GETPIVOTDATA("Average of finGapClean",$A$89,"demand",K90)*100</f>
        <v>0.395094</v>
      </c>
      <c r="O90" s="12"/>
    </row>
    <row r="91" spans="1:15" x14ac:dyDescent="0.25">
      <c r="A91" s="3">
        <v>200</v>
      </c>
      <c r="B91" s="16">
        <v>5</v>
      </c>
      <c r="C91" s="16">
        <v>4</v>
      </c>
      <c r="D91" s="16">
        <v>8965.996000000001</v>
      </c>
      <c r="E91" s="16">
        <v>3.95094E-3</v>
      </c>
      <c r="J91" s="12"/>
      <c r="K91" s="12">
        <v>300</v>
      </c>
      <c r="L91" s="13">
        <f>GETPIVOTDATA("Average of finalTimeClearn",$A$89,"demand",K91)</f>
        <v>14254.960000000001</v>
      </c>
      <c r="M91" s="12" t="str">
        <f t="shared" si="8"/>
        <v>1 / 5</v>
      </c>
      <c r="N91" s="15">
        <f>GETPIVOTDATA("Average of finGapClean",$A$89,"demand",K91)*100</f>
        <v>1.0063360000000001</v>
      </c>
      <c r="O91" s="12"/>
    </row>
    <row r="92" spans="1:15" x14ac:dyDescent="0.25">
      <c r="A92" s="3">
        <v>300</v>
      </c>
      <c r="B92" s="16">
        <v>5</v>
      </c>
      <c r="C92" s="16">
        <v>1</v>
      </c>
      <c r="D92" s="16">
        <v>14254.960000000001</v>
      </c>
      <c r="E92" s="16">
        <v>1.006336E-2</v>
      </c>
      <c r="J92" s="12"/>
      <c r="K92" s="12">
        <v>400</v>
      </c>
      <c r="L92" s="13">
        <f>GETPIVOTDATA("Average of finalTimeClearn",$A$89,"demand",K92)</f>
        <v>13791.98</v>
      </c>
      <c r="M92" s="12" t="str">
        <f t="shared" si="8"/>
        <v>1 / 5</v>
      </c>
      <c r="N92" s="15">
        <f>GETPIVOTDATA("Average of finGapClean",$A$89,"demand",K92)*100</f>
        <v>3.3037660000000004</v>
      </c>
      <c r="O92" s="12"/>
    </row>
    <row r="93" spans="1:15" x14ac:dyDescent="0.25">
      <c r="A93" s="3">
        <v>400</v>
      </c>
      <c r="B93" s="16">
        <v>5</v>
      </c>
      <c r="C93" s="16">
        <v>1</v>
      </c>
      <c r="D93" s="16">
        <v>13791.98</v>
      </c>
      <c r="E93" s="16">
        <v>3.3037660000000003E-2</v>
      </c>
      <c r="J93" s="12"/>
      <c r="K93" s="12">
        <v>500</v>
      </c>
      <c r="L93" s="13">
        <f>GETPIVOTDATA("Average of finalTimeClearn",$A$89,"demand",K93)</f>
        <v>14400</v>
      </c>
      <c r="M93" s="12" t="str">
        <f t="shared" si="8"/>
        <v>0 / 5</v>
      </c>
      <c r="N93" s="15">
        <f>GETPIVOTDATA("Average of finGapClean",$A$89,"demand",K93)*100</f>
        <v>16.579044</v>
      </c>
      <c r="O93" s="12"/>
    </row>
    <row r="94" spans="1:15" x14ac:dyDescent="0.25">
      <c r="A94" s="3">
        <v>500</v>
      </c>
      <c r="B94" s="16">
        <v>5</v>
      </c>
      <c r="C94" s="16">
        <v>0</v>
      </c>
      <c r="D94" s="16">
        <v>14400</v>
      </c>
      <c r="E94" s="16">
        <v>0.16579044000000001</v>
      </c>
      <c r="J94" s="12"/>
      <c r="K94" s="12"/>
      <c r="L94" s="12"/>
      <c r="M94" s="12"/>
      <c r="N94" s="12"/>
      <c r="O94" s="12"/>
    </row>
    <row r="95" spans="1:15" x14ac:dyDescent="0.25">
      <c r="A95" s="3" t="s">
        <v>58</v>
      </c>
      <c r="B95" s="16">
        <v>25</v>
      </c>
      <c r="C95" s="16">
        <v>11</v>
      </c>
      <c r="D95" s="16">
        <v>10544.285800000001</v>
      </c>
      <c r="E95" s="16">
        <v>4.2568480000000006E-2</v>
      </c>
      <c r="J95" s="12"/>
      <c r="K95" s="12"/>
      <c r="L95" s="12"/>
      <c r="M95" s="12"/>
      <c r="N95" s="12"/>
      <c r="O95" s="12"/>
    </row>
    <row r="96" spans="1:15" x14ac:dyDescent="0.25">
      <c r="J96" s="12"/>
      <c r="K96" s="12"/>
      <c r="L96" s="12"/>
      <c r="M96" s="12"/>
      <c r="N96" s="12"/>
      <c r="O96" s="12"/>
    </row>
  </sheetData>
  <pageMargins left="0.7" right="0.7" top="0.75" bottom="0.75" header="0.3" footer="0.3"/>
  <pageSetup paperSize="9" orientation="landscape" r:id="rId4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AB219"/>
  <sheetViews>
    <sheetView zoomScale="98" workbookViewId="0">
      <selection activeCell="E19" sqref="E19"/>
    </sheetView>
  </sheetViews>
  <sheetFormatPr defaultColWidth="9.140625" defaultRowHeight="15" x14ac:dyDescent="0.25"/>
  <cols>
    <col min="6" max="6" width="40.42578125" customWidth="1"/>
    <col min="21" max="21" width="36.140625" customWidth="1"/>
  </cols>
  <sheetData>
    <row r="1" spans="1:28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32</v>
      </c>
    </row>
    <row r="2" spans="1:28" ht="15" customHeight="1" x14ac:dyDescent="0.25">
      <c r="A2">
        <v>2</v>
      </c>
      <c r="B2">
        <v>6</v>
      </c>
      <c r="C2">
        <v>64</v>
      </c>
      <c r="D2">
        <v>100</v>
      </c>
      <c r="E2">
        <v>90</v>
      </c>
      <c r="F2" t="s">
        <v>8</v>
      </c>
      <c r="G2">
        <v>555555</v>
      </c>
      <c r="H2">
        <v>0</v>
      </c>
      <c r="I2">
        <v>2457.2399999999998</v>
      </c>
      <c r="J2">
        <v>1</v>
      </c>
      <c r="L2" s="10"/>
      <c r="AB2" s="1"/>
    </row>
    <row r="3" spans="1:28" ht="15" customHeight="1" x14ac:dyDescent="0.25">
      <c r="A3">
        <v>2</v>
      </c>
      <c r="B3">
        <v>6</v>
      </c>
      <c r="C3">
        <v>64</v>
      </c>
      <c r="D3">
        <v>100</v>
      </c>
      <c r="E3">
        <v>90</v>
      </c>
      <c r="F3" t="s">
        <v>8</v>
      </c>
      <c r="G3">
        <v>4</v>
      </c>
      <c r="H3">
        <v>0</v>
      </c>
      <c r="I3">
        <v>3655.97</v>
      </c>
      <c r="J3">
        <v>1</v>
      </c>
      <c r="AB3" s="1"/>
    </row>
    <row r="4" spans="1:28" ht="15" customHeight="1" x14ac:dyDescent="0.25">
      <c r="A4">
        <v>2</v>
      </c>
      <c r="B4">
        <v>6</v>
      </c>
      <c r="C4">
        <v>64</v>
      </c>
      <c r="D4">
        <v>100</v>
      </c>
      <c r="E4">
        <v>90</v>
      </c>
      <c r="F4" t="s">
        <v>1</v>
      </c>
      <c r="G4">
        <v>555555</v>
      </c>
      <c r="H4">
        <v>0</v>
      </c>
      <c r="I4">
        <v>3770.57</v>
      </c>
      <c r="J4">
        <v>1</v>
      </c>
      <c r="AB4" s="1"/>
    </row>
    <row r="5" spans="1:28" ht="15" customHeight="1" x14ac:dyDescent="0.25">
      <c r="A5">
        <v>2</v>
      </c>
      <c r="B5">
        <v>6</v>
      </c>
      <c r="C5">
        <v>64</v>
      </c>
      <c r="D5">
        <v>100</v>
      </c>
      <c r="E5">
        <v>90</v>
      </c>
      <c r="F5" t="s">
        <v>1</v>
      </c>
      <c r="G5">
        <v>4</v>
      </c>
      <c r="H5">
        <v>0</v>
      </c>
      <c r="I5">
        <v>3445</v>
      </c>
      <c r="J5">
        <v>1</v>
      </c>
      <c r="AB5" s="1"/>
    </row>
    <row r="6" spans="1:28" ht="15" customHeight="1" x14ac:dyDescent="0.25">
      <c r="A6">
        <v>2</v>
      </c>
      <c r="B6">
        <v>6</v>
      </c>
      <c r="C6">
        <v>64</v>
      </c>
      <c r="D6">
        <v>100</v>
      </c>
      <c r="E6">
        <v>90</v>
      </c>
      <c r="F6" t="s">
        <v>8</v>
      </c>
      <c r="G6">
        <v>10000</v>
      </c>
      <c r="H6">
        <v>0</v>
      </c>
      <c r="I6">
        <v>7613.19</v>
      </c>
      <c r="J6">
        <v>1</v>
      </c>
      <c r="AB6" s="1"/>
    </row>
    <row r="7" spans="1:28" ht="15" customHeight="1" x14ac:dyDescent="0.25">
      <c r="A7">
        <v>2</v>
      </c>
      <c r="B7">
        <v>6</v>
      </c>
      <c r="C7">
        <v>64</v>
      </c>
      <c r="D7">
        <v>100</v>
      </c>
      <c r="E7">
        <v>90</v>
      </c>
      <c r="F7" t="s">
        <v>0</v>
      </c>
      <c r="G7">
        <v>555555</v>
      </c>
      <c r="H7">
        <v>0</v>
      </c>
      <c r="I7">
        <v>3875.23</v>
      </c>
      <c r="J7">
        <v>1</v>
      </c>
      <c r="Q7" s="9"/>
      <c r="AB7" s="1"/>
    </row>
    <row r="8" spans="1:28" ht="15" customHeight="1" x14ac:dyDescent="0.25">
      <c r="A8">
        <v>2</v>
      </c>
      <c r="B8">
        <v>6</v>
      </c>
      <c r="C8">
        <v>64</v>
      </c>
      <c r="D8">
        <v>100</v>
      </c>
      <c r="E8">
        <v>90</v>
      </c>
      <c r="F8" t="s">
        <v>2</v>
      </c>
      <c r="G8">
        <v>555555</v>
      </c>
      <c r="H8">
        <v>0</v>
      </c>
      <c r="I8">
        <v>669.97699999999998</v>
      </c>
      <c r="J8">
        <v>1</v>
      </c>
      <c r="Q8" s="9"/>
      <c r="AB8" s="1"/>
    </row>
    <row r="9" spans="1:28" ht="15" customHeight="1" x14ac:dyDescent="0.25">
      <c r="A9">
        <v>2</v>
      </c>
      <c r="B9">
        <v>6</v>
      </c>
      <c r="C9">
        <v>64</v>
      </c>
      <c r="D9">
        <v>100</v>
      </c>
      <c r="E9">
        <v>90</v>
      </c>
      <c r="F9" t="s">
        <v>0</v>
      </c>
      <c r="G9">
        <v>4</v>
      </c>
      <c r="H9">
        <v>0</v>
      </c>
      <c r="I9">
        <v>4031.64</v>
      </c>
      <c r="J9">
        <v>1</v>
      </c>
      <c r="AB9" s="1"/>
    </row>
    <row r="10" spans="1:28" ht="15" customHeight="1" x14ac:dyDescent="0.25">
      <c r="A10">
        <v>2</v>
      </c>
      <c r="B10">
        <v>6</v>
      </c>
      <c r="C10">
        <v>64</v>
      </c>
      <c r="D10">
        <v>100</v>
      </c>
      <c r="E10">
        <v>90</v>
      </c>
      <c r="F10" t="s">
        <v>1</v>
      </c>
      <c r="G10">
        <v>10000</v>
      </c>
      <c r="H10">
        <v>0</v>
      </c>
      <c r="I10">
        <v>3632.7</v>
      </c>
      <c r="J10">
        <v>1</v>
      </c>
      <c r="AB10" s="1"/>
    </row>
    <row r="11" spans="1:28" ht="15" customHeight="1" x14ac:dyDescent="0.25">
      <c r="A11">
        <v>2</v>
      </c>
      <c r="B11">
        <v>6</v>
      </c>
      <c r="C11">
        <v>64</v>
      </c>
      <c r="D11">
        <v>100</v>
      </c>
      <c r="E11">
        <v>90</v>
      </c>
      <c r="F11" t="s">
        <v>2</v>
      </c>
      <c r="G11">
        <v>4</v>
      </c>
      <c r="H11">
        <v>0</v>
      </c>
      <c r="I11">
        <v>572.66899999999998</v>
      </c>
      <c r="J11">
        <v>1</v>
      </c>
      <c r="AB11" s="1"/>
    </row>
    <row r="12" spans="1:28" ht="15" customHeight="1" x14ac:dyDescent="0.25">
      <c r="A12">
        <v>2</v>
      </c>
      <c r="B12">
        <v>5</v>
      </c>
      <c r="C12">
        <v>32</v>
      </c>
      <c r="D12">
        <v>300</v>
      </c>
      <c r="E12">
        <v>90</v>
      </c>
      <c r="F12" t="s">
        <v>15</v>
      </c>
      <c r="G12">
        <v>2</v>
      </c>
      <c r="H12">
        <v>1.2456999999999999E-2</v>
      </c>
      <c r="I12">
        <v>14400</v>
      </c>
      <c r="J12">
        <v>0</v>
      </c>
      <c r="Q12" s="9"/>
      <c r="AB12" s="1"/>
    </row>
    <row r="13" spans="1:28" ht="15" customHeight="1" x14ac:dyDescent="0.25">
      <c r="A13">
        <v>2</v>
      </c>
      <c r="B13">
        <v>6</v>
      </c>
      <c r="C13">
        <v>64</v>
      </c>
      <c r="D13">
        <v>100</v>
      </c>
      <c r="E13">
        <v>90</v>
      </c>
      <c r="F13" t="s">
        <v>0</v>
      </c>
      <c r="G13">
        <v>10000</v>
      </c>
      <c r="H13">
        <v>0</v>
      </c>
      <c r="I13">
        <v>6346.2</v>
      </c>
      <c r="J13">
        <v>1</v>
      </c>
    </row>
    <row r="14" spans="1:28" ht="15" customHeight="1" x14ac:dyDescent="0.25">
      <c r="A14">
        <v>2</v>
      </c>
      <c r="B14">
        <v>6</v>
      </c>
      <c r="C14">
        <v>64</v>
      </c>
      <c r="D14">
        <v>100</v>
      </c>
      <c r="E14">
        <v>90</v>
      </c>
      <c r="F14" t="s">
        <v>2</v>
      </c>
      <c r="G14">
        <v>10000</v>
      </c>
      <c r="H14">
        <v>0</v>
      </c>
      <c r="I14">
        <v>2641.42</v>
      </c>
      <c r="J14">
        <v>1</v>
      </c>
    </row>
    <row r="15" spans="1:28" ht="15" customHeight="1" x14ac:dyDescent="0.25">
      <c r="A15">
        <v>2</v>
      </c>
      <c r="B15">
        <v>6</v>
      </c>
      <c r="C15">
        <v>64</v>
      </c>
      <c r="D15">
        <v>100</v>
      </c>
      <c r="E15">
        <v>90</v>
      </c>
      <c r="F15" t="s">
        <v>7</v>
      </c>
      <c r="G15">
        <v>555555</v>
      </c>
      <c r="H15">
        <v>1.36355E-2</v>
      </c>
      <c r="I15">
        <v>14400</v>
      </c>
      <c r="J15">
        <v>0</v>
      </c>
      <c r="Q15" s="9"/>
    </row>
    <row r="16" spans="1:28" ht="15" customHeight="1" x14ac:dyDescent="0.25">
      <c r="A16">
        <v>2</v>
      </c>
      <c r="B16">
        <v>6</v>
      </c>
      <c r="C16">
        <v>64</v>
      </c>
      <c r="D16">
        <v>100</v>
      </c>
      <c r="E16">
        <v>90</v>
      </c>
      <c r="F16" t="s">
        <v>7</v>
      </c>
      <c r="G16">
        <v>4</v>
      </c>
      <c r="H16">
        <v>1.36355E-2</v>
      </c>
      <c r="I16">
        <v>14400</v>
      </c>
      <c r="J16">
        <v>0</v>
      </c>
      <c r="Q16" s="9"/>
    </row>
    <row r="17" spans="1:17" ht="15" customHeight="1" x14ac:dyDescent="0.25">
      <c r="A17">
        <v>2</v>
      </c>
      <c r="B17">
        <v>6</v>
      </c>
      <c r="C17">
        <v>64</v>
      </c>
      <c r="D17">
        <v>100</v>
      </c>
      <c r="E17">
        <v>90</v>
      </c>
      <c r="F17" t="s">
        <v>8</v>
      </c>
      <c r="G17">
        <v>5</v>
      </c>
      <c r="H17">
        <v>0</v>
      </c>
      <c r="I17">
        <v>3196.05</v>
      </c>
      <c r="J17">
        <v>1</v>
      </c>
    </row>
    <row r="18" spans="1:17" ht="15" customHeight="1" x14ac:dyDescent="0.25">
      <c r="A18">
        <v>2</v>
      </c>
      <c r="B18">
        <v>5</v>
      </c>
      <c r="C18">
        <v>32</v>
      </c>
      <c r="D18">
        <v>300</v>
      </c>
      <c r="E18">
        <v>90</v>
      </c>
      <c r="F18" t="s">
        <v>4</v>
      </c>
      <c r="G18">
        <v>2</v>
      </c>
      <c r="H18">
        <v>1.6143500000000002E-2</v>
      </c>
      <c r="I18">
        <v>14400</v>
      </c>
      <c r="J18">
        <v>0</v>
      </c>
    </row>
    <row r="19" spans="1:17" ht="15" customHeight="1" x14ac:dyDescent="0.25">
      <c r="A19">
        <v>2</v>
      </c>
      <c r="B19">
        <v>6</v>
      </c>
      <c r="C19">
        <v>64</v>
      </c>
      <c r="D19">
        <v>100</v>
      </c>
      <c r="E19">
        <v>90</v>
      </c>
      <c r="F19" t="s">
        <v>8</v>
      </c>
      <c r="G19">
        <v>3</v>
      </c>
      <c r="H19">
        <v>0</v>
      </c>
      <c r="I19">
        <v>3438.5</v>
      </c>
      <c r="J19">
        <v>1</v>
      </c>
    </row>
    <row r="20" spans="1:17" ht="15" customHeight="1" x14ac:dyDescent="0.25">
      <c r="A20">
        <v>2</v>
      </c>
      <c r="B20">
        <v>6</v>
      </c>
      <c r="C20">
        <v>64</v>
      </c>
      <c r="D20">
        <v>100</v>
      </c>
      <c r="E20">
        <v>90</v>
      </c>
      <c r="F20" t="s">
        <v>1</v>
      </c>
      <c r="G20">
        <v>5</v>
      </c>
      <c r="H20">
        <v>0</v>
      </c>
      <c r="I20">
        <v>4341.72</v>
      </c>
      <c r="J20">
        <v>1</v>
      </c>
    </row>
    <row r="21" spans="1:17" ht="15" customHeight="1" x14ac:dyDescent="0.25">
      <c r="A21">
        <v>2</v>
      </c>
      <c r="B21">
        <v>6</v>
      </c>
      <c r="C21">
        <v>64</v>
      </c>
      <c r="D21">
        <v>100</v>
      </c>
      <c r="E21">
        <v>90</v>
      </c>
      <c r="F21" t="s">
        <v>1</v>
      </c>
      <c r="G21">
        <v>3</v>
      </c>
      <c r="H21">
        <v>0</v>
      </c>
      <c r="I21">
        <v>3814.57</v>
      </c>
      <c r="J21">
        <v>1</v>
      </c>
    </row>
    <row r="22" spans="1:17" ht="15" customHeight="1" x14ac:dyDescent="0.25">
      <c r="A22">
        <v>2</v>
      </c>
      <c r="B22">
        <v>6</v>
      </c>
      <c r="C22">
        <v>64</v>
      </c>
      <c r="D22">
        <v>100</v>
      </c>
      <c r="E22">
        <v>90</v>
      </c>
      <c r="F22" t="s">
        <v>7</v>
      </c>
      <c r="G22">
        <v>10000</v>
      </c>
      <c r="H22">
        <v>0.93710899999999997</v>
      </c>
      <c r="I22">
        <v>14400</v>
      </c>
      <c r="J22">
        <v>0</v>
      </c>
    </row>
    <row r="23" spans="1:17" ht="15" customHeight="1" x14ac:dyDescent="0.25">
      <c r="A23">
        <v>2</v>
      </c>
      <c r="B23">
        <v>6</v>
      </c>
      <c r="C23">
        <v>64</v>
      </c>
      <c r="D23">
        <v>100</v>
      </c>
      <c r="E23">
        <v>90</v>
      </c>
      <c r="F23" t="s">
        <v>0</v>
      </c>
      <c r="G23">
        <v>5</v>
      </c>
      <c r="H23">
        <v>0</v>
      </c>
      <c r="I23">
        <v>4703.2</v>
      </c>
      <c r="J23">
        <v>1</v>
      </c>
    </row>
    <row r="24" spans="1:17" ht="15" customHeight="1" x14ac:dyDescent="0.25">
      <c r="A24">
        <v>2</v>
      </c>
      <c r="B24">
        <v>6</v>
      </c>
      <c r="C24">
        <v>64</v>
      </c>
      <c r="D24">
        <v>100</v>
      </c>
      <c r="E24">
        <v>90</v>
      </c>
      <c r="F24" t="s">
        <v>0</v>
      </c>
      <c r="G24">
        <v>3</v>
      </c>
      <c r="H24">
        <v>0</v>
      </c>
      <c r="I24">
        <v>4727.8</v>
      </c>
      <c r="J24">
        <v>1</v>
      </c>
    </row>
    <row r="25" spans="1:17" ht="15" customHeight="1" x14ac:dyDescent="0.25">
      <c r="A25">
        <v>2</v>
      </c>
      <c r="B25">
        <v>6</v>
      </c>
      <c r="C25">
        <v>64</v>
      </c>
      <c r="D25">
        <v>100</v>
      </c>
      <c r="E25">
        <v>90</v>
      </c>
      <c r="F25" t="s">
        <v>2</v>
      </c>
      <c r="G25">
        <v>5</v>
      </c>
      <c r="H25">
        <v>0</v>
      </c>
      <c r="I25">
        <v>1076.54</v>
      </c>
      <c r="J25">
        <v>1</v>
      </c>
    </row>
    <row r="26" spans="1:17" ht="15" customHeight="1" x14ac:dyDescent="0.25">
      <c r="A26">
        <v>2</v>
      </c>
      <c r="B26">
        <v>6</v>
      </c>
      <c r="C26">
        <v>64</v>
      </c>
      <c r="D26">
        <v>100</v>
      </c>
      <c r="E26">
        <v>90</v>
      </c>
      <c r="F26" t="s">
        <v>8</v>
      </c>
      <c r="G26">
        <v>1000</v>
      </c>
      <c r="H26">
        <v>0</v>
      </c>
      <c r="I26">
        <v>3947.62</v>
      </c>
      <c r="J26">
        <v>1</v>
      </c>
      <c r="Q26" s="9"/>
    </row>
    <row r="27" spans="1:17" ht="15" customHeight="1" x14ac:dyDescent="0.25">
      <c r="A27">
        <v>2</v>
      </c>
      <c r="B27">
        <v>6</v>
      </c>
      <c r="C27">
        <v>64</v>
      </c>
      <c r="D27">
        <v>100</v>
      </c>
      <c r="E27">
        <v>90</v>
      </c>
      <c r="F27" t="s">
        <v>2</v>
      </c>
      <c r="G27">
        <v>3</v>
      </c>
      <c r="H27">
        <v>0</v>
      </c>
      <c r="I27">
        <v>958.755</v>
      </c>
      <c r="J27">
        <v>1</v>
      </c>
      <c r="Q27" s="9"/>
    </row>
    <row r="28" spans="1:17" ht="15" customHeight="1" x14ac:dyDescent="0.25">
      <c r="A28">
        <v>2</v>
      </c>
      <c r="B28">
        <v>5</v>
      </c>
      <c r="C28">
        <v>32</v>
      </c>
      <c r="D28">
        <v>300</v>
      </c>
      <c r="E28">
        <v>90</v>
      </c>
      <c r="F28" t="s">
        <v>6</v>
      </c>
      <c r="G28">
        <v>2</v>
      </c>
      <c r="H28">
        <v>1.1174999999999999E-2</v>
      </c>
      <c r="I28">
        <v>14400</v>
      </c>
      <c r="J28">
        <v>0</v>
      </c>
      <c r="Q28" s="9"/>
    </row>
    <row r="29" spans="1:17" ht="15" customHeight="1" x14ac:dyDescent="0.25">
      <c r="A29">
        <v>2</v>
      </c>
      <c r="B29">
        <v>6</v>
      </c>
      <c r="C29">
        <v>64</v>
      </c>
      <c r="D29">
        <v>100</v>
      </c>
      <c r="E29">
        <v>90</v>
      </c>
      <c r="F29" t="s">
        <v>1</v>
      </c>
      <c r="G29">
        <v>1000</v>
      </c>
      <c r="H29">
        <v>0</v>
      </c>
      <c r="I29">
        <v>5063.47</v>
      </c>
      <c r="J29">
        <v>1</v>
      </c>
    </row>
    <row r="30" spans="1:17" x14ac:dyDescent="0.25">
      <c r="A30">
        <v>2</v>
      </c>
      <c r="B30">
        <v>6</v>
      </c>
      <c r="C30">
        <v>64</v>
      </c>
      <c r="D30">
        <v>100</v>
      </c>
      <c r="E30">
        <v>90</v>
      </c>
      <c r="F30" t="s">
        <v>0</v>
      </c>
      <c r="G30">
        <v>1000</v>
      </c>
      <c r="H30">
        <v>0</v>
      </c>
      <c r="I30">
        <v>5012.4799999999996</v>
      </c>
      <c r="J30">
        <v>1</v>
      </c>
    </row>
    <row r="31" spans="1:17" x14ac:dyDescent="0.25">
      <c r="A31">
        <v>2</v>
      </c>
      <c r="B31">
        <v>6</v>
      </c>
      <c r="C31">
        <v>64</v>
      </c>
      <c r="D31">
        <v>100</v>
      </c>
      <c r="E31">
        <v>90</v>
      </c>
      <c r="F31" t="s">
        <v>2</v>
      </c>
      <c r="G31">
        <v>1000</v>
      </c>
      <c r="H31">
        <v>0</v>
      </c>
      <c r="I31">
        <v>794.05499999999995</v>
      </c>
      <c r="J31">
        <v>1</v>
      </c>
    </row>
    <row r="32" spans="1:17" ht="15" customHeight="1" x14ac:dyDescent="0.25">
      <c r="A32">
        <v>2</v>
      </c>
      <c r="B32">
        <v>6</v>
      </c>
      <c r="C32">
        <v>64</v>
      </c>
      <c r="D32">
        <v>100</v>
      </c>
      <c r="E32">
        <v>90</v>
      </c>
      <c r="F32" t="s">
        <v>7</v>
      </c>
      <c r="G32">
        <v>5</v>
      </c>
      <c r="H32">
        <v>1.36355E-2</v>
      </c>
      <c r="I32">
        <v>14400</v>
      </c>
      <c r="J32">
        <v>0</v>
      </c>
    </row>
    <row r="33" spans="1:17" ht="15" customHeight="1" x14ac:dyDescent="0.25">
      <c r="A33">
        <v>2</v>
      </c>
      <c r="B33">
        <v>6</v>
      </c>
      <c r="C33">
        <v>64</v>
      </c>
      <c r="D33">
        <v>100</v>
      </c>
      <c r="E33">
        <v>90</v>
      </c>
      <c r="F33" t="s">
        <v>7</v>
      </c>
      <c r="G33">
        <v>3</v>
      </c>
      <c r="H33">
        <v>1.36355E-2</v>
      </c>
      <c r="I33">
        <v>14400</v>
      </c>
      <c r="J33">
        <v>0</v>
      </c>
    </row>
    <row r="34" spans="1:17" ht="15" customHeight="1" x14ac:dyDescent="0.25">
      <c r="A34">
        <v>2</v>
      </c>
      <c r="B34">
        <v>6</v>
      </c>
      <c r="C34">
        <v>64</v>
      </c>
      <c r="D34">
        <v>100</v>
      </c>
      <c r="E34">
        <v>90</v>
      </c>
      <c r="F34" t="s">
        <v>8</v>
      </c>
      <c r="G34">
        <v>2</v>
      </c>
      <c r="H34">
        <v>0</v>
      </c>
      <c r="I34">
        <v>2765.98</v>
      </c>
      <c r="J34">
        <v>1</v>
      </c>
    </row>
    <row r="35" spans="1:17" x14ac:dyDescent="0.25">
      <c r="A35">
        <v>2</v>
      </c>
      <c r="B35">
        <v>4</v>
      </c>
      <c r="C35">
        <v>16</v>
      </c>
      <c r="D35">
        <v>100</v>
      </c>
      <c r="E35">
        <v>90</v>
      </c>
      <c r="F35" t="s">
        <v>8</v>
      </c>
      <c r="G35">
        <v>2</v>
      </c>
      <c r="H35">
        <v>0</v>
      </c>
      <c r="I35">
        <v>142.70400000000001</v>
      </c>
      <c r="J35">
        <v>1</v>
      </c>
    </row>
    <row r="36" spans="1:17" ht="15" customHeight="1" x14ac:dyDescent="0.25">
      <c r="A36">
        <v>2</v>
      </c>
      <c r="B36">
        <v>4</v>
      </c>
      <c r="C36">
        <v>16</v>
      </c>
      <c r="D36">
        <v>100</v>
      </c>
      <c r="E36">
        <v>90</v>
      </c>
      <c r="F36" t="s">
        <v>1</v>
      </c>
      <c r="G36">
        <v>2</v>
      </c>
      <c r="H36">
        <v>0</v>
      </c>
      <c r="I36">
        <v>173.65100000000001</v>
      </c>
      <c r="J36">
        <v>1</v>
      </c>
    </row>
    <row r="37" spans="1:17" ht="15" customHeight="1" x14ac:dyDescent="0.25">
      <c r="A37">
        <v>2</v>
      </c>
      <c r="B37">
        <v>4</v>
      </c>
      <c r="C37">
        <v>16</v>
      </c>
      <c r="D37">
        <v>100</v>
      </c>
      <c r="E37">
        <v>90</v>
      </c>
      <c r="F37" t="s">
        <v>0</v>
      </c>
      <c r="G37">
        <v>2</v>
      </c>
      <c r="H37">
        <v>0</v>
      </c>
      <c r="I37">
        <v>199.21100000000001</v>
      </c>
      <c r="J37">
        <v>1</v>
      </c>
      <c r="Q37" s="9"/>
    </row>
    <row r="38" spans="1:17" ht="15" customHeight="1" x14ac:dyDescent="0.25">
      <c r="A38">
        <v>2</v>
      </c>
      <c r="B38">
        <v>5</v>
      </c>
      <c r="C38">
        <v>32</v>
      </c>
      <c r="D38">
        <v>300</v>
      </c>
      <c r="E38">
        <v>90</v>
      </c>
      <c r="F38" t="s">
        <v>5</v>
      </c>
      <c r="G38">
        <v>2</v>
      </c>
      <c r="H38">
        <v>1.05413E-2</v>
      </c>
      <c r="I38">
        <v>14400</v>
      </c>
      <c r="J38">
        <v>0</v>
      </c>
      <c r="Q38" s="9"/>
    </row>
    <row r="39" spans="1:17" x14ac:dyDescent="0.25">
      <c r="A39">
        <v>2</v>
      </c>
      <c r="B39">
        <v>4</v>
      </c>
      <c r="C39">
        <v>16</v>
      </c>
      <c r="D39">
        <v>100</v>
      </c>
      <c r="E39">
        <v>90</v>
      </c>
      <c r="F39" t="s">
        <v>2</v>
      </c>
      <c r="G39">
        <v>2</v>
      </c>
      <c r="H39">
        <v>0</v>
      </c>
      <c r="I39">
        <v>63.561199999999999</v>
      </c>
      <c r="J39">
        <v>1</v>
      </c>
      <c r="Q39" s="9"/>
    </row>
    <row r="40" spans="1:17" x14ac:dyDescent="0.25">
      <c r="A40">
        <v>2</v>
      </c>
      <c r="B40">
        <v>4</v>
      </c>
      <c r="C40">
        <v>16</v>
      </c>
      <c r="D40">
        <v>100</v>
      </c>
      <c r="E40">
        <v>90</v>
      </c>
      <c r="F40" t="s">
        <v>7</v>
      </c>
      <c r="G40">
        <v>2</v>
      </c>
      <c r="H40">
        <v>0</v>
      </c>
      <c r="I40">
        <v>279.61700000000002</v>
      </c>
      <c r="J40">
        <v>1</v>
      </c>
    </row>
    <row r="41" spans="1:17" ht="15" customHeight="1" x14ac:dyDescent="0.25">
      <c r="A41">
        <v>2</v>
      </c>
      <c r="B41">
        <v>5</v>
      </c>
      <c r="C41">
        <v>32</v>
      </c>
      <c r="D41">
        <v>100</v>
      </c>
      <c r="E41">
        <v>90</v>
      </c>
      <c r="F41" t="s">
        <v>8</v>
      </c>
      <c r="G41">
        <v>2</v>
      </c>
      <c r="H41">
        <v>0</v>
      </c>
      <c r="I41">
        <v>460.21</v>
      </c>
      <c r="J41">
        <v>1</v>
      </c>
    </row>
    <row r="42" spans="1:17" ht="15" customHeight="1" x14ac:dyDescent="0.25">
      <c r="A42">
        <v>2</v>
      </c>
      <c r="B42">
        <v>5</v>
      </c>
      <c r="C42">
        <v>32</v>
      </c>
      <c r="D42">
        <v>100</v>
      </c>
      <c r="E42">
        <v>90</v>
      </c>
      <c r="F42" t="s">
        <v>1</v>
      </c>
      <c r="G42">
        <v>2</v>
      </c>
      <c r="H42">
        <v>0</v>
      </c>
      <c r="I42">
        <v>427.06599999999997</v>
      </c>
      <c r="J42">
        <v>1</v>
      </c>
    </row>
    <row r="43" spans="1:17" ht="15" customHeight="1" x14ac:dyDescent="0.25">
      <c r="A43">
        <v>2</v>
      </c>
      <c r="B43">
        <v>6</v>
      </c>
      <c r="C43">
        <v>64</v>
      </c>
      <c r="D43">
        <v>100</v>
      </c>
      <c r="E43">
        <v>90</v>
      </c>
      <c r="F43" t="s">
        <v>1</v>
      </c>
      <c r="G43">
        <v>2</v>
      </c>
      <c r="H43">
        <v>0</v>
      </c>
      <c r="I43">
        <v>3310.98</v>
      </c>
      <c r="J43">
        <v>1</v>
      </c>
    </row>
    <row r="44" spans="1:17" ht="15" customHeight="1" x14ac:dyDescent="0.25">
      <c r="A44">
        <v>2</v>
      </c>
      <c r="B44">
        <v>5</v>
      </c>
      <c r="C44">
        <v>32</v>
      </c>
      <c r="D44">
        <v>100</v>
      </c>
      <c r="E44">
        <v>90</v>
      </c>
      <c r="F44" t="s">
        <v>0</v>
      </c>
      <c r="G44">
        <v>2</v>
      </c>
      <c r="H44">
        <v>0</v>
      </c>
      <c r="I44">
        <v>846.92399999999998</v>
      </c>
      <c r="J44">
        <v>1</v>
      </c>
      <c r="Q44" s="9"/>
    </row>
    <row r="45" spans="1:17" ht="15" customHeight="1" x14ac:dyDescent="0.25">
      <c r="A45">
        <v>2</v>
      </c>
      <c r="B45">
        <v>5</v>
      </c>
      <c r="C45">
        <v>32</v>
      </c>
      <c r="D45">
        <v>100</v>
      </c>
      <c r="E45">
        <v>90</v>
      </c>
      <c r="F45" t="s">
        <v>2</v>
      </c>
      <c r="G45">
        <v>2</v>
      </c>
      <c r="H45">
        <v>0</v>
      </c>
      <c r="I45">
        <v>189.375</v>
      </c>
      <c r="J45">
        <v>1</v>
      </c>
      <c r="Q45" s="9"/>
    </row>
    <row r="46" spans="1:17" ht="15" customHeight="1" x14ac:dyDescent="0.25">
      <c r="A46">
        <v>2</v>
      </c>
      <c r="B46">
        <v>6</v>
      </c>
      <c r="C46">
        <v>64</v>
      </c>
      <c r="D46">
        <v>100</v>
      </c>
      <c r="E46">
        <v>90</v>
      </c>
      <c r="F46" t="s">
        <v>7</v>
      </c>
      <c r="G46">
        <v>1000</v>
      </c>
      <c r="H46">
        <v>0</v>
      </c>
      <c r="I46">
        <v>12514.5</v>
      </c>
      <c r="J46">
        <v>1</v>
      </c>
      <c r="Q46" s="9"/>
    </row>
    <row r="47" spans="1:17" ht="15" customHeight="1" x14ac:dyDescent="0.25">
      <c r="A47">
        <v>2</v>
      </c>
      <c r="B47">
        <v>6</v>
      </c>
      <c r="C47">
        <v>64</v>
      </c>
      <c r="D47">
        <v>100</v>
      </c>
      <c r="E47">
        <v>90</v>
      </c>
      <c r="F47" t="s">
        <v>0</v>
      </c>
      <c r="G47">
        <v>2</v>
      </c>
      <c r="H47">
        <v>0</v>
      </c>
      <c r="I47">
        <v>3602.01</v>
      </c>
      <c r="J47">
        <v>1</v>
      </c>
      <c r="Q47" s="9"/>
    </row>
    <row r="48" spans="1:17" ht="15" customHeight="1" x14ac:dyDescent="0.25">
      <c r="A48">
        <v>2</v>
      </c>
      <c r="B48">
        <v>6</v>
      </c>
      <c r="C48">
        <v>64</v>
      </c>
      <c r="D48">
        <v>100</v>
      </c>
      <c r="E48">
        <v>90</v>
      </c>
      <c r="F48" t="s">
        <v>2</v>
      </c>
      <c r="G48">
        <v>2</v>
      </c>
      <c r="H48">
        <v>0</v>
      </c>
      <c r="I48">
        <v>663.84400000000005</v>
      </c>
      <c r="J48">
        <v>1</v>
      </c>
    </row>
    <row r="49" spans="1:17" ht="15" customHeight="1" x14ac:dyDescent="0.25">
      <c r="A49">
        <v>2</v>
      </c>
      <c r="B49">
        <v>5</v>
      </c>
      <c r="C49">
        <v>32</v>
      </c>
      <c r="D49">
        <v>100</v>
      </c>
      <c r="E49">
        <v>90</v>
      </c>
      <c r="F49" t="s">
        <v>7</v>
      </c>
      <c r="G49">
        <v>2</v>
      </c>
      <c r="H49">
        <v>0</v>
      </c>
      <c r="I49">
        <v>4618.8900000000003</v>
      </c>
      <c r="J49">
        <v>1</v>
      </c>
      <c r="Q49" s="9"/>
    </row>
    <row r="50" spans="1:17" ht="15" customHeight="1" x14ac:dyDescent="0.25">
      <c r="A50">
        <v>2</v>
      </c>
      <c r="B50">
        <v>5</v>
      </c>
      <c r="C50">
        <v>32</v>
      </c>
      <c r="D50">
        <v>300</v>
      </c>
      <c r="E50">
        <v>90</v>
      </c>
      <c r="F50" t="s">
        <v>14</v>
      </c>
      <c r="G50">
        <v>2</v>
      </c>
      <c r="H50">
        <v>0</v>
      </c>
      <c r="I50">
        <v>13674.8</v>
      </c>
      <c r="J50">
        <v>1</v>
      </c>
      <c r="Q50" s="9"/>
    </row>
    <row r="51" spans="1:17" ht="15" customHeight="1" x14ac:dyDescent="0.25">
      <c r="A51">
        <v>2</v>
      </c>
      <c r="B51">
        <v>6</v>
      </c>
      <c r="C51">
        <v>64</v>
      </c>
      <c r="D51">
        <v>100</v>
      </c>
      <c r="E51">
        <v>90</v>
      </c>
      <c r="F51" t="s">
        <v>7</v>
      </c>
      <c r="G51">
        <v>2</v>
      </c>
      <c r="H51">
        <v>0</v>
      </c>
      <c r="I51">
        <v>9801.7999999999993</v>
      </c>
      <c r="J51">
        <v>1</v>
      </c>
      <c r="Q51" s="9"/>
    </row>
    <row r="52" spans="1:17" ht="15" customHeight="1" x14ac:dyDescent="0.25">
      <c r="A52">
        <v>2</v>
      </c>
      <c r="B52">
        <v>5</v>
      </c>
      <c r="C52">
        <v>32</v>
      </c>
      <c r="D52">
        <v>400</v>
      </c>
      <c r="E52">
        <v>90</v>
      </c>
      <c r="F52" t="s">
        <v>16</v>
      </c>
      <c r="G52">
        <v>2</v>
      </c>
      <c r="H52">
        <v>1.7595199999999998E-2</v>
      </c>
      <c r="I52">
        <v>14400</v>
      </c>
      <c r="J52">
        <v>0</v>
      </c>
      <c r="Q52" s="9"/>
    </row>
    <row r="53" spans="1:17" ht="15" customHeight="1" x14ac:dyDescent="0.25">
      <c r="A53">
        <v>2</v>
      </c>
      <c r="B53">
        <v>5</v>
      </c>
      <c r="C53">
        <v>32</v>
      </c>
      <c r="D53">
        <v>200</v>
      </c>
      <c r="E53">
        <v>90</v>
      </c>
      <c r="F53" t="s">
        <v>9</v>
      </c>
      <c r="G53">
        <v>2</v>
      </c>
      <c r="H53">
        <v>0</v>
      </c>
      <c r="I53">
        <v>1669.86</v>
      </c>
      <c r="J53">
        <v>1</v>
      </c>
      <c r="Q53" s="9"/>
    </row>
    <row r="54" spans="1:17" ht="15" customHeight="1" x14ac:dyDescent="0.25">
      <c r="A54">
        <v>3</v>
      </c>
      <c r="B54">
        <v>4</v>
      </c>
      <c r="C54">
        <v>81</v>
      </c>
      <c r="D54">
        <v>100</v>
      </c>
      <c r="E54">
        <v>90</v>
      </c>
      <c r="F54" t="s">
        <v>8</v>
      </c>
      <c r="G54">
        <v>2</v>
      </c>
      <c r="H54">
        <v>0</v>
      </c>
      <c r="I54">
        <v>2108.0100000000002</v>
      </c>
      <c r="J54">
        <v>1</v>
      </c>
    </row>
    <row r="55" spans="1:17" ht="15" customHeight="1" x14ac:dyDescent="0.25">
      <c r="A55">
        <v>3</v>
      </c>
      <c r="B55">
        <v>4</v>
      </c>
      <c r="C55">
        <v>81</v>
      </c>
      <c r="D55">
        <v>100</v>
      </c>
      <c r="E55">
        <v>90</v>
      </c>
      <c r="F55" t="s">
        <v>1</v>
      </c>
      <c r="G55">
        <v>2</v>
      </c>
      <c r="H55">
        <v>0</v>
      </c>
      <c r="I55">
        <v>1215.45</v>
      </c>
      <c r="J55">
        <v>1</v>
      </c>
      <c r="Q55" s="9"/>
    </row>
    <row r="56" spans="1:17" ht="15" customHeight="1" x14ac:dyDescent="0.25">
      <c r="A56">
        <v>3</v>
      </c>
      <c r="B56">
        <v>4</v>
      </c>
      <c r="C56">
        <v>81</v>
      </c>
      <c r="D56">
        <v>100</v>
      </c>
      <c r="E56">
        <v>90</v>
      </c>
      <c r="F56" t="s">
        <v>0</v>
      </c>
      <c r="G56">
        <v>2</v>
      </c>
      <c r="H56">
        <v>0</v>
      </c>
      <c r="I56">
        <v>5841.25</v>
      </c>
      <c r="J56">
        <v>1</v>
      </c>
    </row>
    <row r="57" spans="1:17" ht="15" customHeight="1" x14ac:dyDescent="0.25">
      <c r="A57">
        <v>2</v>
      </c>
      <c r="B57">
        <v>5</v>
      </c>
      <c r="C57">
        <v>32</v>
      </c>
      <c r="D57">
        <v>200</v>
      </c>
      <c r="E57">
        <v>90</v>
      </c>
      <c r="F57" t="s">
        <v>10</v>
      </c>
      <c r="G57">
        <v>2</v>
      </c>
      <c r="H57">
        <v>0</v>
      </c>
      <c r="I57">
        <v>7782.12</v>
      </c>
      <c r="J57">
        <v>1</v>
      </c>
      <c r="Q57" s="9"/>
    </row>
    <row r="58" spans="1:17" ht="15" customHeight="1" x14ac:dyDescent="0.25">
      <c r="A58">
        <v>3</v>
      </c>
      <c r="B58">
        <v>4</v>
      </c>
      <c r="C58">
        <v>81</v>
      </c>
      <c r="D58">
        <v>100</v>
      </c>
      <c r="E58">
        <v>90</v>
      </c>
      <c r="F58" t="s">
        <v>2</v>
      </c>
      <c r="G58">
        <v>2</v>
      </c>
      <c r="H58">
        <v>0</v>
      </c>
      <c r="I58">
        <v>507.565</v>
      </c>
      <c r="J58">
        <v>1</v>
      </c>
      <c r="Q58" s="9"/>
    </row>
    <row r="59" spans="1:17" ht="15" customHeight="1" x14ac:dyDescent="0.25">
      <c r="A59">
        <v>2</v>
      </c>
      <c r="B59">
        <v>5</v>
      </c>
      <c r="C59">
        <v>32</v>
      </c>
      <c r="D59">
        <v>400</v>
      </c>
      <c r="E59">
        <v>90</v>
      </c>
      <c r="F59" t="s">
        <v>17</v>
      </c>
      <c r="G59">
        <v>2</v>
      </c>
      <c r="H59">
        <v>8.8822499999999999E-2</v>
      </c>
      <c r="I59">
        <v>14400</v>
      </c>
      <c r="J59">
        <v>0</v>
      </c>
      <c r="Q59" s="9"/>
    </row>
    <row r="60" spans="1:17" ht="15" customHeight="1" x14ac:dyDescent="0.25">
      <c r="A60">
        <v>2</v>
      </c>
      <c r="B60">
        <v>5</v>
      </c>
      <c r="C60">
        <v>32</v>
      </c>
      <c r="D60">
        <v>200</v>
      </c>
      <c r="E60">
        <v>90</v>
      </c>
      <c r="F60" t="s">
        <v>11</v>
      </c>
      <c r="G60">
        <v>2</v>
      </c>
      <c r="H60">
        <v>0</v>
      </c>
      <c r="I60">
        <v>6795</v>
      </c>
      <c r="J60">
        <v>1</v>
      </c>
      <c r="Q60" s="9"/>
    </row>
    <row r="61" spans="1:17" ht="15" customHeight="1" x14ac:dyDescent="0.25">
      <c r="A61">
        <v>2</v>
      </c>
      <c r="B61">
        <v>7</v>
      </c>
      <c r="C61">
        <v>128</v>
      </c>
      <c r="D61">
        <v>100</v>
      </c>
      <c r="E61">
        <v>90</v>
      </c>
      <c r="F61" t="s">
        <v>8</v>
      </c>
      <c r="G61">
        <v>2</v>
      </c>
      <c r="H61">
        <v>0</v>
      </c>
      <c r="I61">
        <v>5154.55</v>
      </c>
      <c r="J61">
        <v>1</v>
      </c>
      <c r="Q61" s="9"/>
    </row>
    <row r="62" spans="1:17" ht="15" customHeight="1" x14ac:dyDescent="0.25">
      <c r="A62">
        <v>3</v>
      </c>
      <c r="B62">
        <v>4</v>
      </c>
      <c r="C62">
        <v>81</v>
      </c>
      <c r="D62">
        <v>100</v>
      </c>
      <c r="E62">
        <v>90</v>
      </c>
      <c r="F62" t="s">
        <v>7</v>
      </c>
      <c r="G62">
        <v>2</v>
      </c>
      <c r="H62">
        <v>0</v>
      </c>
      <c r="I62">
        <v>14221.6</v>
      </c>
      <c r="J62">
        <v>1</v>
      </c>
    </row>
    <row r="63" spans="1:17" ht="15" customHeight="1" x14ac:dyDescent="0.25">
      <c r="A63">
        <v>2</v>
      </c>
      <c r="B63">
        <v>5</v>
      </c>
      <c r="C63">
        <v>32</v>
      </c>
      <c r="D63">
        <v>400</v>
      </c>
      <c r="E63">
        <v>90</v>
      </c>
      <c r="F63" t="s">
        <v>20</v>
      </c>
      <c r="G63">
        <v>2</v>
      </c>
      <c r="H63">
        <v>0</v>
      </c>
      <c r="I63">
        <v>11359.9</v>
      </c>
      <c r="J63">
        <v>1</v>
      </c>
      <c r="Q63" s="9"/>
    </row>
    <row r="64" spans="1:17" ht="15" customHeight="1" x14ac:dyDescent="0.25">
      <c r="A64">
        <v>2</v>
      </c>
      <c r="B64">
        <v>7</v>
      </c>
      <c r="C64">
        <v>128</v>
      </c>
      <c r="D64">
        <v>100</v>
      </c>
      <c r="E64">
        <v>90</v>
      </c>
      <c r="F64" t="s">
        <v>1</v>
      </c>
      <c r="G64">
        <v>2</v>
      </c>
      <c r="H64">
        <v>0</v>
      </c>
      <c r="I64">
        <v>6697.99</v>
      </c>
      <c r="J64">
        <v>1</v>
      </c>
      <c r="Q64" s="9"/>
    </row>
    <row r="65" spans="1:17" ht="15" customHeight="1" x14ac:dyDescent="0.25">
      <c r="A65">
        <v>2</v>
      </c>
      <c r="B65">
        <v>5</v>
      </c>
      <c r="C65">
        <v>32</v>
      </c>
      <c r="D65">
        <v>400</v>
      </c>
      <c r="E65">
        <v>90</v>
      </c>
      <c r="F65" t="s">
        <v>18</v>
      </c>
      <c r="G65">
        <v>2</v>
      </c>
      <c r="H65">
        <v>4.2593300000000001E-2</v>
      </c>
      <c r="I65">
        <v>14400</v>
      </c>
      <c r="J65">
        <v>0</v>
      </c>
      <c r="Q65" s="9"/>
    </row>
    <row r="66" spans="1:17" ht="15" customHeight="1" x14ac:dyDescent="0.25">
      <c r="A66">
        <v>2</v>
      </c>
      <c r="B66">
        <v>7</v>
      </c>
      <c r="C66">
        <v>128</v>
      </c>
      <c r="D66">
        <v>100</v>
      </c>
      <c r="E66">
        <v>90</v>
      </c>
      <c r="F66" t="s">
        <v>0</v>
      </c>
      <c r="G66">
        <v>2</v>
      </c>
      <c r="H66">
        <v>0</v>
      </c>
      <c r="I66">
        <v>13362.3</v>
      </c>
      <c r="J66">
        <v>1</v>
      </c>
      <c r="Q66" s="9"/>
    </row>
    <row r="67" spans="1:17" ht="15" customHeight="1" x14ac:dyDescent="0.25">
      <c r="A67">
        <v>2</v>
      </c>
      <c r="B67">
        <v>5</v>
      </c>
      <c r="C67">
        <v>32</v>
      </c>
      <c r="D67">
        <v>200</v>
      </c>
      <c r="E67">
        <v>90</v>
      </c>
      <c r="F67" t="s">
        <v>12</v>
      </c>
      <c r="G67">
        <v>2</v>
      </c>
      <c r="H67">
        <v>0</v>
      </c>
      <c r="I67">
        <v>14183</v>
      </c>
      <c r="J67">
        <v>1</v>
      </c>
      <c r="Q67" s="9"/>
    </row>
    <row r="68" spans="1:17" ht="15" customHeight="1" x14ac:dyDescent="0.25">
      <c r="A68">
        <v>2</v>
      </c>
      <c r="B68">
        <v>7</v>
      </c>
      <c r="C68">
        <v>128</v>
      </c>
      <c r="D68">
        <v>100</v>
      </c>
      <c r="E68">
        <v>90</v>
      </c>
      <c r="F68" t="s">
        <v>2</v>
      </c>
      <c r="G68">
        <v>2</v>
      </c>
      <c r="H68">
        <v>0</v>
      </c>
      <c r="I68">
        <v>4574.2</v>
      </c>
      <c r="J68">
        <v>1</v>
      </c>
    </row>
    <row r="69" spans="1:17" ht="15" customHeight="1" x14ac:dyDescent="0.25">
      <c r="A69">
        <v>2</v>
      </c>
      <c r="B69">
        <v>5</v>
      </c>
      <c r="C69">
        <v>32</v>
      </c>
      <c r="D69">
        <v>400</v>
      </c>
      <c r="E69">
        <v>90</v>
      </c>
      <c r="F69" t="s">
        <v>19</v>
      </c>
      <c r="G69">
        <v>2</v>
      </c>
      <c r="H69">
        <v>1.6177299999999999E-2</v>
      </c>
      <c r="I69">
        <v>14400</v>
      </c>
      <c r="J69">
        <v>0</v>
      </c>
    </row>
    <row r="70" spans="1:17" ht="15" customHeight="1" x14ac:dyDescent="0.25">
      <c r="A70">
        <v>2</v>
      </c>
      <c r="B70">
        <v>5</v>
      </c>
      <c r="C70">
        <v>32</v>
      </c>
      <c r="D70">
        <v>200</v>
      </c>
      <c r="E70">
        <v>90</v>
      </c>
      <c r="F70" t="s">
        <v>13</v>
      </c>
      <c r="G70">
        <v>2</v>
      </c>
      <c r="H70">
        <v>1.97547E-2</v>
      </c>
      <c r="I70">
        <v>14400</v>
      </c>
      <c r="J70">
        <v>0</v>
      </c>
      <c r="Q70" s="9"/>
    </row>
    <row r="71" spans="1:17" ht="15" customHeight="1" x14ac:dyDescent="0.25">
      <c r="A71">
        <v>2</v>
      </c>
      <c r="B71">
        <v>7</v>
      </c>
      <c r="C71">
        <v>128</v>
      </c>
      <c r="D71">
        <v>100</v>
      </c>
      <c r="E71">
        <v>90</v>
      </c>
      <c r="F71" t="s">
        <v>7</v>
      </c>
      <c r="G71">
        <v>2</v>
      </c>
      <c r="H71">
        <v>2.4218900000000002E-2</v>
      </c>
      <c r="I71">
        <v>14400</v>
      </c>
      <c r="J71">
        <v>0</v>
      </c>
      <c r="Q71" s="9"/>
    </row>
    <row r="72" spans="1:17" ht="15" customHeight="1" x14ac:dyDescent="0.25">
      <c r="A72">
        <v>2</v>
      </c>
      <c r="B72">
        <v>5</v>
      </c>
      <c r="C72">
        <v>32</v>
      </c>
      <c r="D72">
        <v>500</v>
      </c>
      <c r="E72">
        <v>90</v>
      </c>
      <c r="F72" t="s">
        <v>52</v>
      </c>
      <c r="G72">
        <v>2</v>
      </c>
      <c r="H72">
        <v>1.4578600000000001E-2</v>
      </c>
      <c r="I72">
        <v>14400</v>
      </c>
      <c r="J72">
        <v>0</v>
      </c>
      <c r="Q72" s="9"/>
    </row>
    <row r="73" spans="1:17" ht="15" customHeight="1" x14ac:dyDescent="0.25">
      <c r="A73">
        <v>3</v>
      </c>
      <c r="B73">
        <v>5</v>
      </c>
      <c r="C73">
        <v>243</v>
      </c>
      <c r="D73">
        <v>100</v>
      </c>
      <c r="E73">
        <v>90</v>
      </c>
      <c r="F73" t="s">
        <v>1</v>
      </c>
      <c r="G73">
        <v>2</v>
      </c>
      <c r="H73">
        <v>1.8739100000000002E-2</v>
      </c>
      <c r="I73">
        <v>14400</v>
      </c>
      <c r="J73">
        <v>0</v>
      </c>
      <c r="Q73" s="9"/>
    </row>
    <row r="74" spans="1:17" ht="15" customHeight="1" x14ac:dyDescent="0.25">
      <c r="A74">
        <v>2</v>
      </c>
      <c r="B74">
        <v>5</v>
      </c>
      <c r="C74">
        <v>32</v>
      </c>
      <c r="D74">
        <v>500</v>
      </c>
      <c r="E74">
        <v>90</v>
      </c>
      <c r="F74" t="s">
        <v>53</v>
      </c>
      <c r="G74">
        <v>2</v>
      </c>
      <c r="H74">
        <v>0.12709200000000001</v>
      </c>
      <c r="I74">
        <v>14400</v>
      </c>
      <c r="J74">
        <v>0</v>
      </c>
      <c r="Q74" s="9"/>
    </row>
    <row r="75" spans="1:17" ht="15" customHeight="1" x14ac:dyDescent="0.25">
      <c r="A75">
        <v>3</v>
      </c>
      <c r="B75">
        <v>5</v>
      </c>
      <c r="C75">
        <v>243</v>
      </c>
      <c r="D75">
        <v>100</v>
      </c>
      <c r="E75">
        <v>90</v>
      </c>
      <c r="F75" t="s">
        <v>0</v>
      </c>
      <c r="G75">
        <v>2</v>
      </c>
      <c r="H75">
        <v>2.7588700000000001E-2</v>
      </c>
      <c r="I75">
        <v>14400</v>
      </c>
      <c r="J75">
        <v>0</v>
      </c>
      <c r="Q75" s="9"/>
    </row>
    <row r="76" spans="1:17" ht="15" customHeight="1" x14ac:dyDescent="0.25">
      <c r="A76">
        <v>3</v>
      </c>
      <c r="B76">
        <v>5</v>
      </c>
      <c r="C76">
        <v>243</v>
      </c>
      <c r="D76">
        <v>100</v>
      </c>
      <c r="E76">
        <v>90</v>
      </c>
      <c r="F76" t="s">
        <v>2</v>
      </c>
      <c r="G76">
        <v>2</v>
      </c>
      <c r="H76">
        <v>0</v>
      </c>
      <c r="I76">
        <v>4945.03</v>
      </c>
      <c r="J76">
        <v>1</v>
      </c>
      <c r="Q76" s="9"/>
    </row>
    <row r="77" spans="1:17" ht="15" customHeight="1" x14ac:dyDescent="0.25">
      <c r="A77">
        <v>2</v>
      </c>
      <c r="B77">
        <v>5</v>
      </c>
      <c r="C77">
        <v>32</v>
      </c>
      <c r="D77">
        <v>500</v>
      </c>
      <c r="E77">
        <v>90</v>
      </c>
      <c r="F77" t="s">
        <v>54</v>
      </c>
      <c r="G77">
        <v>2</v>
      </c>
      <c r="H77">
        <v>0.65180700000000003</v>
      </c>
      <c r="I77">
        <v>14400</v>
      </c>
      <c r="J77">
        <v>0</v>
      </c>
      <c r="Q77" s="9"/>
    </row>
    <row r="78" spans="1:17" ht="15" customHeight="1" x14ac:dyDescent="0.25">
      <c r="A78">
        <v>3</v>
      </c>
      <c r="B78">
        <v>5</v>
      </c>
      <c r="C78">
        <v>243</v>
      </c>
      <c r="D78">
        <v>100</v>
      </c>
      <c r="E78">
        <v>90</v>
      </c>
      <c r="F78" t="s">
        <v>7</v>
      </c>
      <c r="G78">
        <v>2</v>
      </c>
      <c r="H78">
        <v>4.0082899999999998E-2</v>
      </c>
      <c r="I78">
        <v>14400</v>
      </c>
      <c r="J78">
        <v>0</v>
      </c>
    </row>
    <row r="79" spans="1:17" ht="15" customHeight="1" x14ac:dyDescent="0.25">
      <c r="A79">
        <v>2</v>
      </c>
      <c r="B79">
        <v>5</v>
      </c>
      <c r="C79">
        <v>32</v>
      </c>
      <c r="D79">
        <v>500</v>
      </c>
      <c r="E79">
        <v>90</v>
      </c>
      <c r="F79" t="s">
        <v>55</v>
      </c>
      <c r="G79">
        <v>2</v>
      </c>
      <c r="H79">
        <v>1.1633299999999999E-2</v>
      </c>
      <c r="I79">
        <v>14400</v>
      </c>
      <c r="J79">
        <v>0</v>
      </c>
    </row>
    <row r="80" spans="1:17" ht="15" customHeight="1" x14ac:dyDescent="0.25">
      <c r="A80">
        <v>2</v>
      </c>
      <c r="B80">
        <v>5</v>
      </c>
      <c r="C80">
        <v>32</v>
      </c>
      <c r="D80">
        <v>500</v>
      </c>
      <c r="E80">
        <v>90</v>
      </c>
      <c r="F80" t="s">
        <v>56</v>
      </c>
      <c r="G80">
        <v>2</v>
      </c>
      <c r="H80">
        <v>2.3841299999999999E-2</v>
      </c>
      <c r="I80">
        <v>14400</v>
      </c>
      <c r="J80">
        <v>0</v>
      </c>
    </row>
    <row r="81" spans="1:17" ht="15" customHeight="1" x14ac:dyDescent="0.25">
      <c r="A81">
        <v>3</v>
      </c>
      <c r="B81">
        <v>5</v>
      </c>
      <c r="C81">
        <v>243</v>
      </c>
      <c r="D81">
        <v>100</v>
      </c>
      <c r="E81">
        <v>90</v>
      </c>
      <c r="F81" t="s">
        <v>8</v>
      </c>
      <c r="G81">
        <v>2</v>
      </c>
      <c r="H81">
        <v>0</v>
      </c>
      <c r="I81">
        <v>5597.62</v>
      </c>
      <c r="J81">
        <v>1</v>
      </c>
    </row>
    <row r="82" spans="1:17" ht="15" customHeight="1" x14ac:dyDescent="0.25">
      <c r="A82">
        <v>2</v>
      </c>
      <c r="B82">
        <v>8</v>
      </c>
      <c r="C82">
        <v>256</v>
      </c>
      <c r="D82">
        <v>100</v>
      </c>
      <c r="E82">
        <v>90</v>
      </c>
      <c r="F82" t="s">
        <v>1</v>
      </c>
      <c r="G82">
        <v>2</v>
      </c>
      <c r="H82">
        <v>7.0765900000000007E-2</v>
      </c>
      <c r="I82">
        <v>14400</v>
      </c>
      <c r="J82">
        <v>0</v>
      </c>
    </row>
    <row r="83" spans="1:17" ht="15" customHeight="1" x14ac:dyDescent="0.25">
      <c r="A83">
        <v>2</v>
      </c>
      <c r="B83">
        <v>8</v>
      </c>
      <c r="C83">
        <v>256</v>
      </c>
      <c r="D83">
        <v>100</v>
      </c>
      <c r="E83">
        <v>90</v>
      </c>
      <c r="F83" t="s">
        <v>0</v>
      </c>
      <c r="G83">
        <v>2</v>
      </c>
      <c r="H83">
        <v>3.1711000000000003E-2</v>
      </c>
      <c r="I83">
        <v>14400</v>
      </c>
      <c r="J83">
        <v>0</v>
      </c>
    </row>
    <row r="84" spans="1:17" ht="15" customHeight="1" x14ac:dyDescent="0.25">
      <c r="A84">
        <v>2</v>
      </c>
      <c r="B84">
        <v>8</v>
      </c>
      <c r="C84">
        <v>256</v>
      </c>
      <c r="D84">
        <v>100</v>
      </c>
      <c r="E84">
        <v>90</v>
      </c>
      <c r="F84" t="s">
        <v>2</v>
      </c>
      <c r="G84">
        <v>2</v>
      </c>
      <c r="H84">
        <v>0</v>
      </c>
      <c r="I84">
        <v>9593.67</v>
      </c>
      <c r="J84">
        <v>1</v>
      </c>
    </row>
    <row r="85" spans="1:17" ht="15" customHeight="1" x14ac:dyDescent="0.25">
      <c r="A85">
        <v>2</v>
      </c>
      <c r="B85">
        <v>8</v>
      </c>
      <c r="C85">
        <v>256</v>
      </c>
      <c r="D85">
        <v>100</v>
      </c>
      <c r="E85">
        <v>90</v>
      </c>
      <c r="F85" t="s">
        <v>7</v>
      </c>
      <c r="G85">
        <v>2</v>
      </c>
      <c r="H85">
        <v>4.36087E-2</v>
      </c>
      <c r="I85">
        <v>14400</v>
      </c>
      <c r="J85">
        <v>0</v>
      </c>
    </row>
    <row r="86" spans="1:17" ht="15" customHeight="1" x14ac:dyDescent="0.25"/>
    <row r="87" spans="1:17" ht="15" customHeight="1" x14ac:dyDescent="0.25">
      <c r="A87">
        <v>2</v>
      </c>
      <c r="B87">
        <v>8</v>
      </c>
      <c r="C87">
        <v>256</v>
      </c>
      <c r="D87">
        <v>100</v>
      </c>
      <c r="E87">
        <v>90</v>
      </c>
      <c r="F87" t="s">
        <v>8</v>
      </c>
      <c r="G87">
        <v>2</v>
      </c>
      <c r="H87">
        <v>1.12269E-2</v>
      </c>
      <c r="I87">
        <v>14400</v>
      </c>
      <c r="J87">
        <v>0</v>
      </c>
    </row>
    <row r="88" spans="1:17" ht="15" customHeight="1" x14ac:dyDescent="0.25"/>
    <row r="89" spans="1:17" ht="15" customHeight="1" x14ac:dyDescent="0.25"/>
    <row r="90" spans="1:17" ht="15" customHeight="1" x14ac:dyDescent="0.25"/>
    <row r="91" spans="1:17" ht="15" customHeight="1" x14ac:dyDescent="0.25"/>
    <row r="92" spans="1:17" ht="15" customHeight="1" x14ac:dyDescent="0.25">
      <c r="Q92" s="9"/>
    </row>
    <row r="93" spans="1:17" ht="15" customHeight="1" x14ac:dyDescent="0.25">
      <c r="Q93" s="9"/>
    </row>
    <row r="94" spans="1:17" ht="15" customHeight="1" x14ac:dyDescent="0.25"/>
    <row r="95" spans="1:17" ht="15" customHeight="1" x14ac:dyDescent="0.25"/>
    <row r="96" spans="1:17" ht="15" customHeight="1" x14ac:dyDescent="0.25"/>
    <row r="97" spans="17:17" ht="15" customHeight="1" x14ac:dyDescent="0.25"/>
    <row r="98" spans="17:17" ht="15" customHeight="1" x14ac:dyDescent="0.25"/>
    <row r="99" spans="17:17" ht="15" customHeight="1" x14ac:dyDescent="0.25"/>
    <row r="100" spans="17:17" ht="15" customHeight="1" x14ac:dyDescent="0.25"/>
    <row r="101" spans="17:17" ht="15" customHeight="1" x14ac:dyDescent="0.25"/>
    <row r="102" spans="17:17" ht="15" customHeight="1" x14ac:dyDescent="0.25"/>
    <row r="103" spans="17:17" ht="15" customHeight="1" x14ac:dyDescent="0.25"/>
    <row r="104" spans="17:17" ht="15" customHeight="1" x14ac:dyDescent="0.25"/>
    <row r="105" spans="17:17" ht="15" customHeight="1" x14ac:dyDescent="0.25"/>
    <row r="106" spans="17:17" ht="15" customHeight="1" x14ac:dyDescent="0.25"/>
    <row r="107" spans="17:17" ht="15" customHeight="1" x14ac:dyDescent="0.25"/>
    <row r="108" spans="17:17" ht="15" customHeight="1" x14ac:dyDescent="0.25">
      <c r="Q108" s="9"/>
    </row>
    <row r="109" spans="17:17" ht="15" customHeight="1" x14ac:dyDescent="0.25"/>
    <row r="110" spans="17:17" ht="15" customHeight="1" x14ac:dyDescent="0.25"/>
    <row r="111" spans="17:17" ht="15" customHeight="1" x14ac:dyDescent="0.25">
      <c r="Q111" s="9"/>
    </row>
    <row r="112" spans="17:17" ht="15" customHeight="1" x14ac:dyDescent="0.25">
      <c r="Q112" s="9"/>
    </row>
    <row r="113" spans="17:17" ht="15" customHeight="1" x14ac:dyDescent="0.25">
      <c r="Q113" s="9"/>
    </row>
    <row r="114" spans="17:17" ht="15" customHeight="1" x14ac:dyDescent="0.25">
      <c r="Q114" s="9"/>
    </row>
    <row r="115" spans="17:17" ht="15" customHeight="1" x14ac:dyDescent="0.25">
      <c r="Q115" s="9"/>
    </row>
    <row r="116" spans="17:17" ht="15" customHeight="1" x14ac:dyDescent="0.25">
      <c r="Q116" s="9"/>
    </row>
    <row r="117" spans="17:17" x14ac:dyDescent="0.25">
      <c r="Q117" s="9"/>
    </row>
    <row r="118" spans="17:17" x14ac:dyDescent="0.25">
      <c r="Q118" s="9"/>
    </row>
    <row r="122" spans="17:17" x14ac:dyDescent="0.25">
      <c r="Q122" s="9"/>
    </row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52" ht="15" customHeight="1" x14ac:dyDescent="0.25"/>
    <row r="153" ht="15" customHeight="1" x14ac:dyDescent="0.25"/>
    <row r="154" ht="15" customHeight="1" x14ac:dyDescent="0.25"/>
    <row r="155" ht="15" customHeight="1" x14ac:dyDescent="0.25"/>
    <row r="156" ht="15" customHeight="1" x14ac:dyDescent="0.25"/>
    <row r="157" ht="15" customHeight="1" x14ac:dyDescent="0.25"/>
    <row r="158" ht="15" customHeight="1" x14ac:dyDescent="0.25"/>
    <row r="159" ht="15" customHeight="1" x14ac:dyDescent="0.25"/>
    <row r="160" ht="15" customHeight="1" x14ac:dyDescent="0.25"/>
    <row r="161" ht="15" customHeight="1" x14ac:dyDescent="0.25"/>
    <row r="162" ht="15" customHeight="1" x14ac:dyDescent="0.25"/>
    <row r="163" ht="15" customHeight="1" x14ac:dyDescent="0.25"/>
    <row r="164" ht="15" customHeight="1" x14ac:dyDescent="0.25"/>
    <row r="165" ht="15" customHeight="1" x14ac:dyDescent="0.25"/>
    <row r="166" ht="15" customHeight="1" x14ac:dyDescent="0.25"/>
    <row r="167" ht="15" customHeight="1" x14ac:dyDescent="0.25"/>
    <row r="168" ht="15" customHeight="1" x14ac:dyDescent="0.25"/>
    <row r="169" ht="15" customHeight="1" x14ac:dyDescent="0.25"/>
    <row r="170" ht="15" customHeight="1" x14ac:dyDescent="0.25"/>
    <row r="171" ht="15" customHeight="1" x14ac:dyDescent="0.25"/>
    <row r="172" ht="15" customHeight="1" x14ac:dyDescent="0.25"/>
    <row r="173" ht="15" customHeight="1" x14ac:dyDescent="0.25"/>
    <row r="174" ht="15" customHeight="1" x14ac:dyDescent="0.25"/>
    <row r="175" ht="15" customHeight="1" x14ac:dyDescent="0.25"/>
    <row r="176" ht="15" customHeight="1" x14ac:dyDescent="0.25"/>
    <row r="177" ht="15" customHeight="1" x14ac:dyDescent="0.25"/>
    <row r="178" ht="15" customHeight="1" x14ac:dyDescent="0.25"/>
    <row r="179" ht="15" customHeight="1" x14ac:dyDescent="0.25"/>
    <row r="180" ht="15" customHeight="1" x14ac:dyDescent="0.25"/>
    <row r="181" ht="15" customHeight="1" x14ac:dyDescent="0.25"/>
    <row r="182" ht="15" customHeight="1" x14ac:dyDescent="0.25"/>
    <row r="183" ht="15" customHeight="1" x14ac:dyDescent="0.25"/>
    <row r="184" ht="15" customHeight="1" x14ac:dyDescent="0.25"/>
    <row r="185" ht="15" customHeight="1" x14ac:dyDescent="0.25"/>
    <row r="186" ht="15" customHeight="1" x14ac:dyDescent="0.25"/>
    <row r="187" ht="15" customHeight="1" x14ac:dyDescent="0.25"/>
    <row r="188" ht="15" customHeight="1" x14ac:dyDescent="0.25"/>
    <row r="189" ht="15" customHeight="1" x14ac:dyDescent="0.25"/>
    <row r="190" ht="15" customHeight="1" x14ac:dyDescent="0.25"/>
    <row r="191" ht="15" customHeight="1" x14ac:dyDescent="0.25"/>
    <row r="192" ht="15" customHeight="1" x14ac:dyDescent="0.25"/>
    <row r="193" ht="15" customHeight="1" x14ac:dyDescent="0.25"/>
    <row r="194" ht="15" customHeight="1" x14ac:dyDescent="0.25"/>
    <row r="195" ht="15" customHeight="1" x14ac:dyDescent="0.25"/>
    <row r="196" ht="15" customHeight="1" x14ac:dyDescent="0.25"/>
    <row r="197" ht="15" customHeight="1" x14ac:dyDescent="0.25"/>
    <row r="198" ht="15" customHeight="1" x14ac:dyDescent="0.25"/>
    <row r="199" ht="15" customHeight="1" x14ac:dyDescent="0.25"/>
    <row r="200" ht="15" customHeight="1" x14ac:dyDescent="0.25"/>
    <row r="201" ht="15" customHeight="1" x14ac:dyDescent="0.25"/>
    <row r="202" ht="15" customHeight="1" x14ac:dyDescent="0.25"/>
    <row r="203" ht="15" customHeight="1" x14ac:dyDescent="0.25"/>
    <row r="204" ht="15" customHeight="1" x14ac:dyDescent="0.25"/>
    <row r="205" ht="15" customHeight="1" x14ac:dyDescent="0.25"/>
    <row r="206" ht="15" customHeight="1" x14ac:dyDescent="0.25"/>
    <row r="207" ht="15" customHeight="1" x14ac:dyDescent="0.25"/>
    <row r="208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</sheetData>
  <autoFilter ref="A1:J87" xr:uid="{00000000-0001-0000-0100-000000000000}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FinalPivotCleanRun</vt:lpstr>
      <vt:lpstr>CleanRunsFinal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Pirmin Fontaine</dc:creator>
  <cp:lastModifiedBy>Pirmin Fontaine</cp:lastModifiedBy>
  <cp:lastPrinted>2024-03-26T11:36:17Z</cp:lastPrinted>
  <dcterms:created xsi:type="dcterms:W3CDTF">2024-01-16T16:17:08Z</dcterms:created>
  <dcterms:modified xsi:type="dcterms:W3CDTF">2026-01-20T08:24:29Z</dcterms:modified>
</cp:coreProperties>
</file>